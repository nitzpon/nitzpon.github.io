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en_skoroszyt" defaultThemeVersion="202300"/>
  <mc:AlternateContent xmlns:mc="http://schemas.openxmlformats.org/markup-compatibility/2006">
    <mc:Choice Requires="x15">
      <x15ac:absPath xmlns:x15ac="http://schemas.microsoft.com/office/spreadsheetml/2010/11/ac" url="C:\Users\Kuba\Desktop\stronkaportfolio\"/>
    </mc:Choice>
  </mc:AlternateContent>
  <xr:revisionPtr revIDLastSave="0" documentId="13_ncr:1_{A912DB24-EB73-48EC-B6D3-3F1CB7340CC9}" xr6:coauthVersionLast="47" xr6:coauthVersionMax="47" xr10:uidLastSave="{00000000-0000-0000-0000-000000000000}"/>
  <bookViews>
    <workbookView xWindow="-120" yWindow="-120" windowWidth="29040" windowHeight="15840" xr2:uid="{4BA2F171-70F1-4E4F-8C14-D99AE234DB54}"/>
  </bookViews>
  <sheets>
    <sheet name="Dashboard" sheetId="1" r:id="rId1"/>
    <sheet name="Data" sheetId="4" r:id="rId2"/>
    <sheet name="Pivot Tables" sheetId="5" r:id="rId3"/>
  </sheets>
  <definedNames>
    <definedName name="_xlchart.v5.0" hidden="1">'Pivot Tables'!$Y$24</definedName>
    <definedName name="_xlchart.v5.1" hidden="1">'Pivot Tables'!$Y$25:$Y$31</definedName>
    <definedName name="_xlchart.v5.2" hidden="1">'Pivot Tables'!$Z$24</definedName>
    <definedName name="_xlchart.v5.3" hidden="1">'Pivot Tables'!$Z$25:$Z$31</definedName>
    <definedName name="_xlchart.v5.4" hidden="1">'Pivot Tables'!$Y$24</definedName>
    <definedName name="_xlchart.v5.5" hidden="1">'Pivot Tables'!$Y$25:$Y$31</definedName>
    <definedName name="_xlchart.v5.6" hidden="1">'Pivot Tables'!$Z$24</definedName>
    <definedName name="_xlchart.v5.7" hidden="1">'Pivot Tables'!$Z$25:$Z$31</definedName>
    <definedName name="ExternalData_2" localSheetId="1" hidden="1">Data!$A$1:$AC$62</definedName>
    <definedName name="Slicer_Driver_Name">#N/A</definedName>
    <definedName name="Slicer_Load">#N/A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9" i="5" l="1"/>
  <c r="AC65" i="4"/>
  <c r="Q6" i="5"/>
  <c r="K66" i="5" a="1"/>
  <c r="K66" i="5" s="1"/>
  <c r="L66" i="5" s="1" a="1"/>
  <c r="L66" i="5" s="1"/>
  <c r="M66" i="5" s="1"/>
  <c r="W24" i="5"/>
  <c r="W25" i="5"/>
  <c r="W26" i="5"/>
  <c r="W23" i="5"/>
  <c r="V24" i="5"/>
  <c r="V25" i="5"/>
  <c r="V26" i="5"/>
  <c r="V23" i="5"/>
  <c r="Z26" i="5"/>
  <c r="Z27" i="5"/>
  <c r="Z28" i="5"/>
  <c r="Z29" i="5"/>
  <c r="Z30" i="5"/>
  <c r="Z31" i="5"/>
  <c r="Z25" i="5"/>
  <c r="Y26" i="5"/>
  <c r="Y27" i="5"/>
  <c r="Y28" i="5"/>
  <c r="Y29" i="5"/>
  <c r="Y30" i="5"/>
  <c r="Y31" i="5"/>
  <c r="Y25" i="5"/>
  <c r="S31" i="5"/>
  <c r="T31" i="5"/>
  <c r="U31" i="5"/>
  <c r="Q31" i="5"/>
  <c r="R31" i="5"/>
  <c r="P31" i="5"/>
  <c r="S17" i="5"/>
  <c r="Q17" i="5"/>
  <c r="R17" i="5"/>
  <c r="P17" i="5"/>
  <c r="Q4" i="5"/>
  <c r="R4" i="5"/>
  <c r="S4" i="5"/>
  <c r="P4" i="5"/>
  <c r="G5" i="5"/>
  <c r="L5" i="5"/>
  <c r="K5" i="5"/>
  <c r="B5" i="5"/>
  <c r="C5" i="5"/>
  <c r="A5" i="5"/>
  <c r="V31" i="5" l="1"/>
  <c r="A6" i="5"/>
  <c r="B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436353-548A-4200-A79D-44A1B953FA4B}"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<sst xmlns="http://schemas.openxmlformats.org/spreadsheetml/2006/main" count="540" uniqueCount="112">
  <si>
    <t>Month</t>
  </si>
  <si>
    <t>Day</t>
  </si>
  <si>
    <t>Load</t>
  </si>
  <si>
    <t>Tonnage</t>
  </si>
  <si>
    <t>Customer Type</t>
  </si>
  <si>
    <t>Destination</t>
  </si>
  <si>
    <t>Rate</t>
  </si>
  <si>
    <t>Truck</t>
  </si>
  <si>
    <t>Insurance</t>
  </si>
  <si>
    <t>Fuel</t>
  </si>
  <si>
    <t>Diesel Exhaust Fluid</t>
  </si>
  <si>
    <t>Advance</t>
  </si>
  <si>
    <t>Warehouse</t>
  </si>
  <si>
    <t>Repairs</t>
  </si>
  <si>
    <t>Tolls</t>
  </si>
  <si>
    <t>Fundings</t>
  </si>
  <si>
    <t>Driver Name</t>
  </si>
  <si>
    <t>Odometer</t>
  </si>
  <si>
    <t>Miles</t>
  </si>
  <si>
    <t>Rate Per Miles</t>
  </si>
  <si>
    <t>Extra Stops</t>
  </si>
  <si>
    <t>Extra Pay</t>
  </si>
  <si>
    <t>Costs Driver Paid</t>
  </si>
  <si>
    <t>Total Expenses</t>
  </si>
  <si>
    <t>First condition type</t>
  </si>
  <si>
    <t>Shipment cost sub-items</t>
  </si>
  <si>
    <t>ERE Stage</t>
  </si>
  <si>
    <t>Basic freight</t>
  </si>
  <si>
    <t>Final Amount</t>
  </si>
  <si>
    <t>Wood</t>
  </si>
  <si>
    <t>Retaining Customer</t>
  </si>
  <si>
    <t>Freightliner Sprinter</t>
  </si>
  <si>
    <t>Alessandro Smith</t>
  </si>
  <si>
    <t>British Columbia</t>
  </si>
  <si>
    <t>Beauregard Mike</t>
  </si>
  <si>
    <t>Manitoba</t>
  </si>
  <si>
    <t>Jean Bartholomew</t>
  </si>
  <si>
    <t>Sand</t>
  </si>
  <si>
    <t>New Brunswick</t>
  </si>
  <si>
    <t>Nunavut</t>
  </si>
  <si>
    <t>Iron</t>
  </si>
  <si>
    <t>New Customer</t>
  </si>
  <si>
    <t>Alberta</t>
  </si>
  <si>
    <t>Yukon</t>
  </si>
  <si>
    <t>Chevrolet Express</t>
  </si>
  <si>
    <t>May</t>
  </si>
  <si>
    <t>RAM ProMaster</t>
  </si>
  <si>
    <t>Nissan NV2500</t>
  </si>
  <si>
    <t>Sum of Rate</t>
  </si>
  <si>
    <t>Sum of Total Expenses</t>
  </si>
  <si>
    <t>Sum of Balance</t>
  </si>
  <si>
    <t>Expenses</t>
  </si>
  <si>
    <t>Balance</t>
  </si>
  <si>
    <t>Monthly rate</t>
  </si>
  <si>
    <t>Grand Total</t>
  </si>
  <si>
    <t>YTD - Total Balance</t>
  </si>
  <si>
    <t>Monthly balance</t>
  </si>
  <si>
    <t>Customer type</t>
  </si>
  <si>
    <t>Count of Customer Type</t>
  </si>
  <si>
    <t>Sum of Insurance</t>
  </si>
  <si>
    <t>Sum of Fuel</t>
  </si>
  <si>
    <t>Sum of Diesel Exhaust Fluid</t>
  </si>
  <si>
    <t>Sum of Advance</t>
  </si>
  <si>
    <t>Sum of Fundings</t>
  </si>
  <si>
    <t>Sum of Warehouse</t>
  </si>
  <si>
    <t>Sum of Tolls</t>
  </si>
  <si>
    <t>AdBlue</t>
  </si>
  <si>
    <t>Sum of Repairs</t>
  </si>
  <si>
    <t>January</t>
  </si>
  <si>
    <t>February</t>
  </si>
  <si>
    <t>March</t>
  </si>
  <si>
    <t>April</t>
  </si>
  <si>
    <t>July</t>
  </si>
  <si>
    <t>June</t>
  </si>
  <si>
    <t>Jaison Augustustine</t>
  </si>
  <si>
    <t>August</t>
  </si>
  <si>
    <t>September</t>
  </si>
  <si>
    <t>October</t>
  </si>
  <si>
    <t>Novembera Scotia</t>
  </si>
  <si>
    <t>November</t>
  </si>
  <si>
    <t>December</t>
  </si>
  <si>
    <t>`1</t>
  </si>
  <si>
    <t>Sum of Costs Driver Paid</t>
  </si>
  <si>
    <t>Sum of Extra Pay</t>
  </si>
  <si>
    <t>Sum of Extra Stops</t>
  </si>
  <si>
    <t>Sum of Miles</t>
  </si>
  <si>
    <t>Sum of Rate Per Miles</t>
  </si>
  <si>
    <t>Sum of Rate Per Mile</t>
  </si>
  <si>
    <t>Rate Per Mile</t>
  </si>
  <si>
    <t>Drivers Stats</t>
  </si>
  <si>
    <t>Mileage</t>
  </si>
  <si>
    <t>Count of Load</t>
  </si>
  <si>
    <t>Sum of Tonnage</t>
  </si>
  <si>
    <t>Sum of Final Amount</t>
  </si>
  <si>
    <t>Count of Destination</t>
  </si>
  <si>
    <t>Total carriages</t>
  </si>
  <si>
    <t>Total</t>
  </si>
  <si>
    <t>Truck Expenses</t>
  </si>
  <si>
    <t>Freight Expenses</t>
  </si>
  <si>
    <t>Total Salary By Carriages</t>
  </si>
  <si>
    <t>Count of Load2</t>
  </si>
  <si>
    <t>Previous Month</t>
  </si>
  <si>
    <t>Percent of total</t>
  </si>
  <si>
    <t>Sort desc</t>
  </si>
  <si>
    <t>Take 2 (roznica procent)</t>
  </si>
  <si>
    <t>Roznica procent</t>
  </si>
  <si>
    <t>Count of Customer Type2</t>
  </si>
  <si>
    <t>Common Truck</t>
  </si>
  <si>
    <t>^deduction (odliczenie napraw)</t>
  </si>
  <si>
    <t>Suma końcowa</t>
  </si>
  <si>
    <t>Suma z Costs Driver Paid</t>
  </si>
  <si>
    <t>Liczba z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</si>
</sst>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409]#,##0"/>
    <numFmt numFmtId="165" formatCode="#,##0\ _z_ł"/>
    <numFmt numFmtId="166" formatCode="#0,&quot;K&quot;"/>
    <numFmt numFmtId="167" formatCode="[$-F800]dddd\,\ mmmm\ dd\,\ yyyy"/>
    <numFmt numFmtId="168" formatCode="[$$-409]#,##0.00"/>
    <numFmt numFmtId="169" formatCode="_-[$$-409]* #,##0.00_ ;_-[$$-409]* \-#,##0.00\ ;_-[$$-409]* &quot;-&quot;??_ ;_-@_ "/>
    <numFmt numFmtId="170" formatCode="_-[$$-409]* #,##0_ ;_-[$$-409]* \-#,##0\ ;_-[$$-409]* &quot;-&quot;??_ ;_-@_ "/>
    <numFmt numFmtId="171" formatCode="#,##0.0000\ _z_ł"/>
  </numFmts>
  <fonts count="9" x14ac:knownFonts="1">
    <font>
      <sz val="11"/>
      <color theme="1"/>
      <name val="Aptos Narrow"/>
      <family val="2"/>
      <charset val="238"/>
      <scheme val="minor"/>
    </font>
    <font>
      <sz val="11"/>
      <color theme="1"/>
      <name val="Aptos Narrow"/>
      <family val="2"/>
      <charset val="238"/>
      <scheme val="minor"/>
    </font>
    <font>
      <b/>
      <sz val="11"/>
      <color theme="1"/>
      <name val="Aptos Narrow"/>
      <family val="2"/>
      <scheme val="minor"/>
    </font>
    <font>
      <sz val="11"/>
      <color theme="1"/>
      <name val="Aptos Narrow"/>
      <family val="2"/>
      <scheme val="minor"/>
    </font>
    <font>
      <b/>
      <sz val="12"/>
      <color theme="1"/>
      <name val="Aptos Narrow"/>
      <family val="2"/>
      <scheme val="minor"/>
    </font>
    <font>
      <b/>
      <sz val="11"/>
      <color rgb="FF00B050"/>
      <name val="Aptos Narrow"/>
      <family val="2"/>
      <scheme val="minor"/>
    </font>
    <font>
      <sz val="11"/>
      <color theme="0"/>
      <name val="Aptos Narrow"/>
      <family val="2"/>
      <scheme val="minor"/>
    </font>
    <font>
      <b/>
      <sz val="11"/>
      <color theme="0"/>
      <name val="Aptos Narrow"/>
      <family val="2"/>
      <scheme val="minor"/>
    </font>
    <font>
      <sz val="11"/>
      <name val="Aptos Narrow"/>
      <family val="2"/>
      <scheme val="minor"/>
    </font>
  </fonts>
  <fills count="2">
    <fill>
      <patternFill patternType="none"/>
    </fill>
    <fill>
      <patternFill patternType="gray125"/>
    </fill>
  </fills>
  <borders count="19">
    <border>
      <left/>
      <right/>
      <top/>
      <bottom/>
      <diagonal/>
    </border>
    <border>
      <left/>
      <right style="thin">
        <color indexed="64"/>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87">
    <xf numFmtId="0" fontId="0" fillId="0" borderId="0" xfId="0"/>
    <xf numFmtId="2" fontId="0" fillId="0" borderId="0" xfId="0" applyNumberFormat="1"/>
    <xf numFmtId="165" fontId="0" fillId="0" borderId="0" xfId="0" applyNumberFormat="1"/>
    <xf numFmtId="0" fontId="0" fillId="0" borderId="1" xfId="0" applyBorder="1"/>
    <xf numFmtId="166" fontId="0" fillId="0" borderId="0" xfId="0" applyNumberFormat="1"/>
    <xf numFmtId="14" fontId="0" fillId="0" borderId="0" xfId="0" applyNumberFormat="1"/>
    <xf numFmtId="167" fontId="0" fillId="0" borderId="0" xfId="0" applyNumberFormat="1"/>
    <xf numFmtId="168" fontId="5" fillId="0" borderId="0" xfId="0" applyNumberFormat="1" applyFont="1"/>
    <xf numFmtId="0" fontId="6" fillId="0" borderId="0" xfId="0" applyFont="1"/>
    <xf numFmtId="168" fontId="7" fillId="0" borderId="0" xfId="0" applyNumberFormat="1" applyFont="1"/>
    <xf numFmtId="15" fontId="0" fillId="0" borderId="0" xfId="0" applyNumberFormat="1"/>
    <xf numFmtId="0" fontId="8" fillId="0" borderId="0" xfId="0" applyFont="1"/>
    <xf numFmtId="0" fontId="0" fillId="0" borderId="4" xfId="0" applyBorder="1"/>
    <xf numFmtId="165" fontId="0" fillId="0" borderId="5" xfId="0" applyNumberFormat="1" applyBorder="1"/>
    <xf numFmtId="168" fontId="0" fillId="0" borderId="5" xfId="0" applyNumberFormat="1" applyBorder="1"/>
    <xf numFmtId="164" fontId="0" fillId="0" borderId="5" xfId="0" applyNumberFormat="1" applyBorder="1"/>
    <xf numFmtId="0" fontId="0" fillId="0" borderId="5" xfId="0" applyBorder="1"/>
    <xf numFmtId="0" fontId="0" fillId="0" borderId="6" xfId="0" applyBorder="1"/>
    <xf numFmtId="0" fontId="0" fillId="0" borderId="7" xfId="0" applyBorder="1"/>
    <xf numFmtId="168" fontId="0" fillId="0" borderId="0" xfId="0" applyNumberFormat="1"/>
    <xf numFmtId="164" fontId="0" fillId="0" borderId="0" xfId="0" applyNumberFormat="1"/>
    <xf numFmtId="0" fontId="0" fillId="0" borderId="8" xfId="0" applyBorder="1"/>
    <xf numFmtId="165" fontId="0" fillId="0" borderId="7" xfId="0" applyNumberFormat="1" applyBorder="1"/>
    <xf numFmtId="170" fontId="0" fillId="0" borderId="0" xfId="0" applyNumberFormat="1"/>
    <xf numFmtId="169" fontId="0" fillId="0" borderId="0" xfId="0" applyNumberFormat="1"/>
    <xf numFmtId="164" fontId="0" fillId="0" borderId="8" xfId="0" applyNumberFormat="1" applyBorder="1"/>
    <xf numFmtId="165" fontId="0" fillId="0" borderId="8" xfId="0" applyNumberFormat="1" applyBorder="1"/>
    <xf numFmtId="0" fontId="0" fillId="0" borderId="9" xfId="0" applyBorder="1"/>
    <xf numFmtId="0" fontId="0" fillId="0" borderId="10" xfId="0" applyBorder="1"/>
    <xf numFmtId="0" fontId="0" fillId="0" borderId="11" xfId="0" applyBorder="1"/>
    <xf numFmtId="164" fontId="0" fillId="0" borderId="7" xfId="0" applyNumberFormat="1" applyBorder="1"/>
    <xf numFmtId="0" fontId="2" fillId="0" borderId="7" xfId="0" applyFont="1" applyBorder="1"/>
    <xf numFmtId="0" fontId="0" fillId="0" borderId="0" xfId="0" pivotButton="1"/>
    <xf numFmtId="164" fontId="2" fillId="0" borderId="0" xfId="0" applyNumberFormat="1" applyFont="1" applyAlignment="1">
      <alignment horizontal="center"/>
    </xf>
    <xf numFmtId="0" fontId="2" fillId="0" borderId="7" xfId="0" applyFont="1" applyBorder="1" applyAlignment="1">
      <alignment horizontal="center"/>
    </xf>
    <xf numFmtId="0" fontId="2" fillId="0" borderId="0" xfId="0" applyFont="1" applyAlignment="1">
      <alignment horizontal="center"/>
    </xf>
    <xf numFmtId="164" fontId="2" fillId="0" borderId="7" xfId="0" applyNumberFormat="1" applyFont="1" applyBorder="1" applyAlignment="1">
      <alignment horizontal="center"/>
    </xf>
    <xf numFmtId="164" fontId="3" fillId="0" borderId="0" xfId="0" applyNumberFormat="1" applyFont="1" applyAlignment="1">
      <alignment horizontal="center"/>
    </xf>
    <xf numFmtId="9" fontId="0" fillId="0" borderId="7" xfId="1" applyFont="1" applyBorder="1"/>
    <xf numFmtId="9" fontId="0" fillId="0" borderId="0" xfId="1" applyFont="1" applyBorder="1"/>
    <xf numFmtId="165" fontId="0" fillId="0" borderId="11" xfId="0" applyNumberFormat="1" applyBorder="1"/>
    <xf numFmtId="165" fontId="0" fillId="0" borderId="4" xfId="0" applyNumberFormat="1" applyBorder="1"/>
    <xf numFmtId="165" fontId="0" fillId="0" borderId="6" xfId="0" applyNumberFormat="1" applyBorder="1"/>
    <xf numFmtId="165" fontId="0" fillId="0" borderId="9" xfId="0" applyNumberFormat="1" applyBorder="1"/>
    <xf numFmtId="0" fontId="0" fillId="0" borderId="3" xfId="0" pivotButton="1" applyBorder="1"/>
    <xf numFmtId="0" fontId="0" fillId="0" borderId="13" xfId="0" applyBorder="1"/>
    <xf numFmtId="0" fontId="0" fillId="0" borderId="14" xfId="0" applyBorder="1"/>
    <xf numFmtId="0" fontId="0" fillId="0" borderId="15" xfId="0" applyBorder="1"/>
    <xf numFmtId="0" fontId="0" fillId="0" borderId="3" xfId="0" applyBorder="1"/>
    <xf numFmtId="10" fontId="0" fillId="0" borderId="0" xfId="0" applyNumberFormat="1"/>
    <xf numFmtId="10" fontId="0" fillId="0" borderId="11" xfId="0" applyNumberFormat="1" applyBorder="1"/>
    <xf numFmtId="9" fontId="0" fillId="0" borderId="6" xfId="0" applyNumberFormat="1" applyBorder="1"/>
    <xf numFmtId="9" fontId="0" fillId="0" borderId="8" xfId="0" applyNumberFormat="1" applyBorder="1"/>
    <xf numFmtId="165" fontId="0" fillId="0" borderId="16" xfId="0" applyNumberFormat="1" applyBorder="1"/>
    <xf numFmtId="165" fontId="0" fillId="0" borderId="17" xfId="0" applyNumberFormat="1" applyBorder="1"/>
    <xf numFmtId="0" fontId="0" fillId="0" borderId="16" xfId="0" applyBorder="1"/>
    <xf numFmtId="0" fontId="0" fillId="0" borderId="17" xfId="0" applyBorder="1"/>
    <xf numFmtId="165" fontId="0" fillId="0" borderId="13" xfId="0" applyNumberFormat="1" applyBorder="1"/>
    <xf numFmtId="165" fontId="0" fillId="0" borderId="14" xfId="0" applyNumberFormat="1" applyBorder="1"/>
    <xf numFmtId="165" fontId="0" fillId="0" borderId="15" xfId="0" applyNumberFormat="1" applyBorder="1"/>
    <xf numFmtId="165" fontId="0" fillId="0" borderId="18" xfId="0" applyNumberFormat="1" applyBorder="1"/>
    <xf numFmtId="0" fontId="0" fillId="0" borderId="18" xfId="0" applyBorder="1"/>
    <xf numFmtId="165" fontId="0" fillId="0" borderId="10" xfId="0" applyNumberFormat="1" applyBorder="1"/>
    <xf numFmtId="0" fontId="0" fillId="0" borderId="4" xfId="0" pivotButton="1" applyBorder="1"/>
    <xf numFmtId="10" fontId="0" fillId="0" borderId="6" xfId="0" applyNumberFormat="1" applyBorder="1"/>
    <xf numFmtId="10" fontId="0" fillId="0" borderId="5" xfId="0" applyNumberFormat="1" applyBorder="1"/>
    <xf numFmtId="10" fontId="0" fillId="0" borderId="10" xfId="0" applyNumberFormat="1" applyBorder="1"/>
    <xf numFmtId="9" fontId="0" fillId="0" borderId="0" xfId="1" applyFont="1"/>
    <xf numFmtId="9" fontId="0" fillId="0" borderId="11" xfId="0" applyNumberFormat="1" applyBorder="1"/>
    <xf numFmtId="167" fontId="3" fillId="0" borderId="0" xfId="0" applyNumberFormat="1" applyFont="1"/>
    <xf numFmtId="0" fontId="3" fillId="0" borderId="0" xfId="0" applyFont="1"/>
    <xf numFmtId="2" fontId="3" fillId="0" borderId="0" xfId="0" applyNumberFormat="1" applyFont="1"/>
    <xf numFmtId="168" fontId="2" fillId="0" borderId="0" xfId="0" applyNumberFormat="1" applyFont="1"/>
    <xf numFmtId="10" fontId="0" fillId="0" borderId="8" xfId="0" applyNumberFormat="1" applyBorder="1"/>
    <xf numFmtId="164" fontId="0" fillId="0" borderId="17" xfId="0" applyNumberFormat="1" applyBorder="1"/>
    <xf numFmtId="164" fontId="0" fillId="0" borderId="18" xfId="0" applyNumberFormat="1" applyBorder="1"/>
    <xf numFmtId="171" fontId="0" fillId="0" borderId="17" xfId="0" applyNumberFormat="1" applyBorder="1"/>
    <xf numFmtId="3" fontId="0" fillId="0" borderId="17" xfId="0" applyNumberFormat="1" applyBorder="1"/>
    <xf numFmtId="3" fontId="0" fillId="0" borderId="0" xfId="0" applyNumberFormat="1"/>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12" xfId="0" applyFont="1" applyBorder="1" applyAlignment="1">
      <alignment horizontal="center" vertical="center"/>
    </xf>
    <xf numFmtId="0" fontId="4" fillId="0" borderId="2" xfId="0" applyFont="1" applyBorder="1" applyAlignment="1">
      <alignment horizontal="center" vertical="center"/>
    </xf>
    <xf numFmtId="0" fontId="4" fillId="0" borderId="8" xfId="0" applyFont="1" applyBorder="1" applyAlignment="1">
      <alignment horizontal="center" vertical="center"/>
    </xf>
    <xf numFmtId="0" fontId="4" fillId="0" borderId="6" xfId="0" applyFont="1" applyBorder="1" applyAlignment="1">
      <alignment horizontal="center" vertical="center"/>
    </xf>
  </cellXfs>
  <cellStyles count="2">
    <cellStyle name="Normalny" xfId="0" builtinId="0"/>
    <cellStyle name="Procentowy" xfId="1" builtinId="5"/>
  </cellStyles>
  <dxfs count="113">
    <dxf>
      <numFmt numFmtId="165" formatCode="#,##0\ _z_ł"/>
    </dxf>
    <dxf>
      <numFmt numFmtId="165" formatCode="#,##0\ _z_ł"/>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_z_ł"/>
    </dxf>
    <dxf>
      <numFmt numFmtId="13"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_z_ł"/>
    </dxf>
    <dxf>
      <numFmt numFmtId="13"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_z_ł"/>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_z_ł"/>
    </dxf>
    <dxf>
      <numFmt numFmtId="3" formatCode="#,##0"/>
    </dxf>
    <dxf>
      <numFmt numFmtId="171" formatCode="#,##0.0000\ _z_ł"/>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409]#,##0"/>
    </dxf>
    <dxf>
      <numFmt numFmtId="164" formatCode="[$$-409]#,##0"/>
    </dxf>
    <dxf>
      <numFmt numFmtId="164" formatCode="[$$-409]#,##0"/>
    </dxf>
    <dxf>
      <numFmt numFmtId="165" formatCode="#,##0\ _z_ł"/>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_z_ł"/>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_z_ł"/>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_z_ł"/>
    </dxf>
    <dxf>
      <numFmt numFmtId="13" formatCode="0%"/>
    </dxf>
    <dxf>
      <numFmt numFmtId="13" formatCode="0%"/>
    </dxf>
    <dxf>
      <numFmt numFmtId="13"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_z_ł"/>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_z_ł"/>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65" formatCode="#,##0\ _z_ł"/>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65" formatCode="#,##0\ _z_ł"/>
    </dxf>
    <dxf>
      <font>
        <strike val="0"/>
        <outline val="0"/>
        <shadow val="0"/>
        <u val="none"/>
        <vertAlign val="baseline"/>
        <sz val="11"/>
        <color theme="1"/>
        <name val="Aptos Narrow"/>
        <family val="2"/>
        <scheme val="minor"/>
      </font>
      <numFmt numFmtId="2" formatCode="0.00"/>
    </dxf>
    <dxf>
      <font>
        <strike val="0"/>
        <outline val="0"/>
        <shadow val="0"/>
        <u val="none"/>
        <vertAlign val="baseline"/>
        <sz val="11"/>
        <color theme="1"/>
        <name val="Aptos Narrow"/>
        <family val="2"/>
        <scheme val="minor"/>
      </font>
      <numFmt numFmtId="2" formatCode="0.00"/>
    </dxf>
    <dxf>
      <font>
        <strike val="0"/>
        <outline val="0"/>
        <shadow val="0"/>
        <u val="none"/>
        <vertAlign val="baseline"/>
        <sz val="11"/>
        <color theme="1"/>
        <name val="Aptos Narrow"/>
        <family val="2"/>
        <scheme val="minor"/>
      </font>
      <numFmt numFmtId="2" formatCode="0.00"/>
    </dxf>
    <dxf>
      <font>
        <strike val="0"/>
        <outline val="0"/>
        <shadow val="0"/>
        <u val="none"/>
        <vertAlign val="baseline"/>
        <sz val="11"/>
        <color theme="1"/>
        <name val="Aptos Narrow"/>
        <family val="2"/>
        <scheme val="minor"/>
      </font>
      <numFmt numFmtId="2" formatCode="0.00"/>
    </dxf>
    <dxf>
      <font>
        <strike val="0"/>
        <outline val="0"/>
        <shadow val="0"/>
        <u val="none"/>
        <vertAlign val="baseline"/>
        <sz val="11"/>
        <color theme="1"/>
        <name val="Aptos Narrow"/>
        <family val="2"/>
        <scheme val="minor"/>
      </font>
      <numFmt numFmtId="2" formatCode="0.00"/>
    </dxf>
    <dxf>
      <font>
        <strike val="0"/>
        <outline val="0"/>
        <shadow val="0"/>
        <u val="none"/>
        <vertAlign val="baseline"/>
        <sz val="11"/>
        <color theme="1"/>
        <name val="Aptos Narrow"/>
        <family val="2"/>
        <scheme val="minor"/>
      </font>
      <numFmt numFmtId="2" formatCode="0.00"/>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numFmt numFmtId="2" formatCode="0.00"/>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numFmt numFmtId="2" formatCode="0.00"/>
    </dxf>
    <dxf>
      <font>
        <strike val="0"/>
        <outline val="0"/>
        <shadow val="0"/>
        <u val="none"/>
        <vertAlign val="baseline"/>
        <sz val="11"/>
        <color theme="1"/>
        <name val="Aptos Narrow"/>
        <family val="2"/>
        <scheme val="minor"/>
      </font>
      <numFmt numFmtId="0" formatCode="General"/>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numFmt numFmtId="0" formatCode="General"/>
    </dxf>
    <dxf>
      <font>
        <b/>
        <strike val="0"/>
        <outline val="0"/>
        <shadow val="0"/>
        <u val="none"/>
        <vertAlign val="baseline"/>
        <sz val="11"/>
        <color theme="1"/>
        <name val="Aptos Narrow"/>
        <family val="2"/>
        <scheme val="minor"/>
      </font>
      <numFmt numFmtId="168" formatCode="[$$-409]#,##0.00"/>
    </dxf>
    <dxf>
      <font>
        <strike val="0"/>
        <outline val="0"/>
        <shadow val="0"/>
        <u val="none"/>
        <vertAlign val="baseline"/>
        <sz val="11"/>
        <color theme="1"/>
        <name val="Aptos Narrow"/>
        <family val="2"/>
        <scheme val="minor"/>
      </font>
      <numFmt numFmtId="0" formatCode="General"/>
    </dxf>
    <dxf>
      <font>
        <strike val="0"/>
        <outline val="0"/>
        <shadow val="0"/>
        <u val="none"/>
        <vertAlign val="baseline"/>
        <sz val="11"/>
        <color theme="1"/>
        <name val="Aptos Narrow"/>
        <family val="2"/>
        <scheme val="minor"/>
      </font>
      <numFmt numFmtId="0" formatCode="General"/>
    </dxf>
    <dxf>
      <font>
        <strike val="0"/>
        <outline val="0"/>
        <shadow val="0"/>
        <u val="none"/>
        <vertAlign val="baseline"/>
        <sz val="11"/>
        <color theme="1"/>
        <name val="Aptos Narrow"/>
        <family val="2"/>
        <scheme val="minor"/>
      </font>
      <numFmt numFmtId="2" formatCode="0.00"/>
    </dxf>
    <dxf>
      <font>
        <strike val="0"/>
        <outline val="0"/>
        <shadow val="0"/>
        <u val="none"/>
        <vertAlign val="baseline"/>
        <sz val="11"/>
        <color theme="1"/>
        <name val="Aptos Narrow"/>
        <family val="2"/>
        <scheme val="minor"/>
      </font>
      <numFmt numFmtId="0" formatCode="General"/>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numFmt numFmtId="167" formatCode="[$-F800]dddd\,\ mmmm\ dd\,\ yyyy"/>
    </dxf>
    <dxf>
      <font>
        <strike val="0"/>
        <outline val="0"/>
        <shadow val="0"/>
        <u val="none"/>
        <vertAlign val="baseline"/>
        <sz val="11"/>
        <color theme="1"/>
        <name val="Aptos Narrow"/>
        <family val="2"/>
        <scheme val="minor"/>
      </font>
    </dxf>
    <dxf>
      <font>
        <b/>
        <i val="0"/>
        <name val="Calibri"/>
        <family val="2"/>
        <charset val="238"/>
        <scheme val="none"/>
      </font>
    </dxf>
  </dxfs>
  <tableStyles count="1" defaultTableStyle="TableStyleMedium2" defaultPivotStyle="PivotStyleLight16">
    <tableStyle name="Slicer Style 1" pivot="0" table="0" count="8" xr9:uid="{DB49070F-6A14-4CF8-B4B1-C6EDFD3FD787}">
      <tableStyleElement type="headerRow" dxfId="112"/>
    </tableStyle>
  </tableStyles>
  <colors>
    <mruColors>
      <color rgb="FFDAE2F8"/>
      <color rgb="FFE09530"/>
      <color rgb="FFEFEFF4"/>
      <color rgb="FFFF5C00"/>
      <color rgb="FFF7D8FF"/>
      <color rgb="FFFBC7D4"/>
      <color rgb="FFD9A7C7"/>
      <color rgb="FFD6A4A4"/>
      <color rgb="FFFFFCDC"/>
    </mruColors>
  </colors>
  <extLst>
    <ext xmlns:x14="http://schemas.microsoft.com/office/spreadsheetml/2009/9/main" uri="{46F421CA-312F-682f-3DD2-61675219B42D}">
      <x14:dxfs count="7">
        <dxf>
          <border diagonalUp="0" diagonalDown="0">
            <left style="medium">
              <color auto="1"/>
            </left>
            <right style="medium">
              <color auto="1"/>
            </right>
            <top style="medium">
              <color auto="1"/>
            </top>
            <bottom style="medium">
              <color auto="1"/>
            </bottom>
            <vertical/>
            <horizontal/>
          </border>
        </dxf>
        <dxf>
          <border>
            <left style="medium">
              <color auto="1"/>
            </left>
            <right style="medium">
              <color auto="1"/>
            </right>
            <top style="medium">
              <color auto="1"/>
            </top>
            <bottom style="medium">
              <color auto="1"/>
            </bottom>
          </border>
        </dxf>
        <dxf>
          <border>
            <left style="thin">
              <color auto="1"/>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top style="medium">
              <color rgb="FFE09530"/>
            </top>
            <bottom style="medium">
              <color rgb="FFE09530"/>
            </bottom>
          </border>
        </dxf>
        <dxf>
          <border diagonalUp="0" diagonalDown="0">
            <left/>
            <right/>
            <top/>
            <bottom/>
            <vertical/>
            <horizontal/>
          </border>
        </dxf>
        <dxf>
          <fill>
            <gradientFill degree="90">
              <stop position="0">
                <color theme="0"/>
              </stop>
              <stop position="1">
                <color rgb="FFE09530"/>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[P3 Supply Chain and Freight Analytics.xlsx]Pivot Tables!PivotTable3</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accent1"/>
            </a:solidFill>
            <a:round/>
          </a:ln>
          <a:effectLst/>
        </c:spPr>
        <c:marker>
          <c:symbol val="circle"/>
          <c:size val="2"/>
          <c:spPr>
            <a:solidFill>
              <a:schemeClr val="bg1"/>
            </a:solidFill>
            <a:ln w="76200">
              <a:solidFill>
                <a:schemeClr val="bg1"/>
              </a:solidFill>
            </a:ln>
            <a:effectLst/>
          </c:spPr>
        </c:marker>
        <c:dLbl>
          <c:idx val="0"/>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37768530168075E-2"/>
          <c:y val="8.7027376557553313E-2"/>
          <c:w val="0.89049199662152245"/>
          <c:h val="0.72943767980155017"/>
        </c:manualLayout>
      </c:layout>
      <c:lineChart>
        <c:grouping val="standard"/>
        <c:varyColors val="0"/>
        <c:ser>
          <c:idx val="0"/>
          <c:order val="0"/>
          <c:tx>
            <c:strRef>
              <c:f>'Pivot Tables'!$G$8</c:f>
              <c:strCache>
                <c:ptCount val="1"/>
                <c:pt idx="0">
                  <c:v>Suma</c:v>
                </c:pt>
              </c:strCache>
            </c:strRef>
          </c:tx>
          <c:spPr>
            <a:ln w="19050" cap="rnd">
              <a:solidFill>
                <a:schemeClr val="accent1"/>
              </a:solidFill>
              <a:round/>
            </a:ln>
            <a:effectLst/>
          </c:spPr>
          <c:marker>
            <c:symbol val="circle"/>
            <c:size val="2"/>
            <c:spPr>
              <a:solidFill>
                <a:schemeClr val="bg1"/>
              </a:solidFill>
              <a:ln w="76200">
                <a:solidFill>
                  <a:schemeClr val="bg1"/>
                </a:solidFill>
              </a:ln>
              <a:effectLst/>
            </c:spPr>
          </c:marker>
          <c:dLbls>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Tables'!$F$9:$F$21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Tables'!$G$9:$G$21</c:f>
              <c:numCache>
                <c:formatCode>#\ ##0\ _z_ł</c:formatCode>
                <c:ptCount val="12"/>
                <c:pt idx="0">
                  <c:v>11948.7</c:v>
                </c:pt>
                <c:pt idx="1">
                  <c:v>12138.8</c:v>
                </c:pt>
                <c:pt idx="2">
                  <c:v>9471.5</c:v>
                </c:pt>
                <c:pt idx="3">
                  <c:v>14518.7</c:v>
                </c:pt>
                <c:pt idx="4">
                  <c:v>28743.599999999999</c:v>
                </c:pt>
                <c:pt idx="5">
                  <c:v>16091.6</c:v>
                </c:pt>
                <c:pt idx="6">
                  <c:v>61991.199999999997</c:v>
                </c:pt>
                <c:pt idx="7">
                  <c:v>20036.8</c:v>
                </c:pt>
                <c:pt idx="8">
                  <c:v>28740.799999999999</c:v>
                </c:pt>
                <c:pt idx="9">
                  <c:v>33422</c:v>
                </c:pt>
                <c:pt idx="10">
                  <c:v>15818.5</c:v>
                </c:pt>
                <c:pt idx="11">
                  <c:v>11270.7</c:v>
                </c:pt>
              </c:numCache>
            </c:numRef>
          </c:val>
          <c:smooth val="1"/>
          <c:extLst>
            <c:ext xmlns:c16="http://schemas.microsoft.com/office/drawing/2014/chart" uri="{C3380CC4-5D6E-409C-BE32-E72D297353CC}">
              <c16:uniqueId val="{00000000-90B4-4AF6-BE08-C7C8517BF85C}"/>
            </c:ext>
          </c:extLst>
        </c:ser>
        <c:dLbls>
          <c:dLblPos val="t"/>
          <c:showLegendKey val="0"/>
          <c:showVal val="1"/>
          <c:showCatName val="0"/>
          <c:showSerName val="0"/>
          <c:showPercent val="0"/>
          <c:showBubbleSize val="0"/>
        </c:dLbls>
        <c:marker val="1"/>
        <c:smooth val="0"/>
        <c:axId val="89011728"/>
        <c:axId val="89008368"/>
      </c:lineChart>
      <c:catAx>
        <c:axId val="89011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bg2">
                    <a:lumMod val="50000"/>
                  </a:schemeClr>
                </a:solidFill>
                <a:latin typeface="Calibri" panose="020F0502020204030204" pitchFamily="34" charset="0"/>
                <a:ea typeface="+mn-ea"/>
                <a:cs typeface="Calibri" panose="020F0502020204030204" pitchFamily="34" charset="0"/>
              </a:defRPr>
            </a:pPr>
            <a:endParaRPr lang="pl-PL"/>
          </a:p>
        </c:txPr>
        <c:crossAx val="89008368"/>
        <c:crosses val="autoZero"/>
        <c:auto val="1"/>
        <c:lblAlgn val="ctr"/>
        <c:lblOffset val="100"/>
        <c:tickLblSkip val="1"/>
        <c:noMultiLvlLbl val="0"/>
      </c:catAx>
      <c:valAx>
        <c:axId val="89008368"/>
        <c:scaling>
          <c:orientation val="minMax"/>
        </c:scaling>
        <c:delete val="1"/>
        <c:axPos val="l"/>
        <c:majorGridlines>
          <c:spPr>
            <a:ln w="3175" cap="flat" cmpd="sng" algn="ctr">
              <a:solidFill>
                <a:schemeClr val="tx1">
                  <a:lumMod val="15000"/>
                  <a:lumOff val="85000"/>
                </a:schemeClr>
              </a:solidFill>
              <a:round/>
            </a:ln>
            <a:effectLst/>
          </c:spPr>
        </c:majorGridlines>
        <c:numFmt formatCode="#\ ##0\ _z_ł" sourceLinked="0"/>
        <c:majorTickMark val="none"/>
        <c:minorTickMark val="none"/>
        <c:tickLblPos val="nextTo"/>
        <c:crossAx val="890117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[P3 Supply Chain and Freight Analytics.xlsx]Pivot Tables!PivotTable3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Tables'!$G$8</c:f>
              <c:strCache>
                <c:ptCount val="1"/>
                <c:pt idx="0">
                  <c:v>Suma</c:v>
                </c:pt>
              </c:strCache>
            </c:strRef>
          </c:tx>
          <c:spPr>
            <a:ln w="28575" cap="rnd">
              <a:solidFill>
                <a:schemeClr val="accent1"/>
              </a:solidFill>
              <a:round/>
            </a:ln>
            <a:effectLst/>
          </c:spPr>
          <c:marker>
            <c:symbol val="none"/>
          </c:marker>
          <c:cat>
            <c:strRef>
              <c:f>'Pivot Tables'!$F$9:$F$21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Tables'!$G$9:$G$21</c:f>
              <c:numCache>
                <c:formatCode>#\ ##0\ _z_ł</c:formatCode>
                <c:ptCount val="12"/>
                <c:pt idx="0">
                  <c:v>11948.7</c:v>
                </c:pt>
                <c:pt idx="1">
                  <c:v>12138.8</c:v>
                </c:pt>
                <c:pt idx="2">
                  <c:v>9471.5</c:v>
                </c:pt>
                <c:pt idx="3">
                  <c:v>14518.7</c:v>
                </c:pt>
                <c:pt idx="4">
                  <c:v>28743.599999999999</c:v>
                </c:pt>
                <c:pt idx="5">
                  <c:v>16091.6</c:v>
                </c:pt>
                <c:pt idx="6">
                  <c:v>61991.199999999997</c:v>
                </c:pt>
                <c:pt idx="7">
                  <c:v>20036.8</c:v>
                </c:pt>
                <c:pt idx="8">
                  <c:v>28740.799999999999</c:v>
                </c:pt>
                <c:pt idx="9">
                  <c:v>33422</c:v>
                </c:pt>
                <c:pt idx="10">
                  <c:v>15818.5</c:v>
                </c:pt>
                <c:pt idx="11">
                  <c:v>11270.7</c:v>
                </c:pt>
              </c:numCache>
            </c:numRef>
          </c:val>
          <c:smooth val="0"/>
          <c:extLst>
            <c:ext xmlns:c16="http://schemas.microsoft.com/office/drawing/2014/chart" uri="{C3380CC4-5D6E-409C-BE32-E72D297353CC}">
              <c16:uniqueId val="{00000000-8FF4-40B5-B009-2E97071552EE}"/>
            </c:ext>
          </c:extLst>
        </c:ser>
        <c:dLbls>
          <c:showLegendKey val="0"/>
          <c:showVal val="0"/>
          <c:showCatName val="0"/>
          <c:showSerName val="0"/>
          <c:showPercent val="0"/>
          <c:showBubbleSize val="0"/>
        </c:dLbls>
        <c:smooth val="0"/>
        <c:axId val="89011728"/>
        <c:axId val="89008368"/>
      </c:lineChart>
      <c:catAx>
        <c:axId val="8901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89008368"/>
        <c:crosses val="autoZero"/>
        <c:auto val="1"/>
        <c:lblAlgn val="ctr"/>
        <c:lblOffset val="100"/>
        <c:noMultiLvlLbl val="0"/>
      </c:catAx>
      <c:valAx>
        <c:axId val="89008368"/>
        <c:scaling>
          <c:orientation val="minMax"/>
        </c:scaling>
        <c:delete val="0"/>
        <c:axPos val="l"/>
        <c:numFmt formatCode="#\ ##0\ _z_ł"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8901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pl-PL" sz="1400" b="1" i="0" u="none" strike="noStrike" baseline="0">
                <a:solidFill>
                  <a:srgbClr val="E09530"/>
                </a:solidFill>
                <a:latin typeface="Calibri" panose="020F0502020204030204" pitchFamily="34" charset="0"/>
                <a:cs typeface="Calibri" panose="020F0502020204030204" pitchFamily="34" charset="0"/>
              </a:rPr>
              <a:t>Carriages by destination</a:t>
            </a:r>
            <a:endParaRPr lang="en-US" sz="1400" b="1" i="0" u="none" strike="noStrike" baseline="0">
              <a:solidFill>
                <a:srgbClr val="E09530"/>
              </a:solidFill>
              <a:latin typeface="Calibri" panose="020F0502020204030204" pitchFamily="34" charset="0"/>
              <a:cs typeface="Calibri" panose="020F0502020204030204" pitchFamily="34" charset="0"/>
            </a:endParaRPr>
          </a:p>
        </cx:rich>
      </cx:tx>
    </cx:title>
    <cx:plotArea>
      <cx:plotAreaRegion>
        <cx:series layoutId="regionMap" uniqueId="{1E6D9BC2-D2FA-4EDB-9BA7-F9B57A24D1E2}">
          <cx:tx>
            <cx:txData>
              <cx:f>_xlchart.v5.2</cx:f>
              <cx:v>Total carriages</cx:v>
            </cx:txData>
          </cx:tx>
          <cx:dataLabels>
            <cx:spPr>
              <a:solidFill>
                <a:schemeClr val="bg1"/>
              </a:solidFill>
            </cx:spPr>
            <cx:txPr>
              <a:bodyPr spcFirstLastPara="1" vertOverflow="ellipsis" horzOverflow="overflow" wrap="square" lIns="0" tIns="0" rIns="0" bIns="0" anchor="ctr" anchorCtr="1"/>
              <a:lstStyle/>
              <a:p>
                <a:pPr algn="ctr" rtl="0">
                  <a:defRPr sz="800"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800" b="1" i="0" u="none" strike="noStrike" baseline="0">
                  <a:solidFill>
                    <a:schemeClr val="tx1"/>
                  </a:solidFill>
                  <a:latin typeface="Calibri" panose="020F0502020204030204" pitchFamily="34" charset="0"/>
                  <a:cs typeface="Calibri" panose="020F0502020204030204" pitchFamily="34" charset="0"/>
                </a:endParaRPr>
              </a:p>
            </cx:txPr>
            <cx:visibility seriesName="0" categoryName="0" value="1"/>
          </cx:dataLabels>
          <cx:dataId val="0"/>
          <cx:layoutPr>
            <cx:geography cultureLanguage="en-US" cultureRegion="US" attribution="Powered by Bing">
              <cx:geoCache provider="{E9337A44-BEBE-4D9F-B70C-5C5E7DAFC167}">
                <cx:binary>1Htpc9w4tuVfcfjzwIUdRMerF/HIzNRuW5btWr4wZNkFgCQILuD66+fSUlVbqSq5K6ZnokfhiJQy
mSSAu51z7vV/3c3/uKu+3HYvZl/V/T/u5h9f2hibf/zwQ39nv/jb/pV3d13ow2/x1V3wP4TffnN3
X3743N1OrjY/UEz4D3f2totf5pf//V9wN/MlXIa72+hCfT186ZZ3X/qhiv0zn/3pRy9uP3tX71wf
O3cXyY8v085F19sXWagG/8ndvnzxpY4uLu+X5suPLx9d/fLFD8f3fPL8FxUsMQ6f4buCvxKSipcv
qlCbh/cQoeIVIVIITuXvj3p96+Hyv7OQr8u4/fy5+9L3sKOvr392h0fLhwuyly/uwlDH7fgMnOSP
L7Pb+vYzbNr1Ibv/JAvb4rP/+brbHx6f/H//19EbsP+jd74xzvFhfe+jJ7b5n+rTly7+O00Chy81
w0ph/fUnObIOAZsRorTA/LF1/oWl/LlR/vjikS3+J/3PtsVf+Mm3wfHokr8ZHJK+EorpRGKBv/7Q
x5bQ8pXECcGJoH98fv/s+2j53W//ej1/bo7fv/do7f/hYXB1W7sYPv0744C/gigQQh2nJ61ecUYw
BtPcHzukr2+P/V9Zyp8f/D+/eRQIV//hgfBouVAwXn+ZXqTdUPeTuyt/P53/82rB5SuhCZNasvuT
Z48DQspXRCVMKvmQuo4s8y8v68/Nc/T1R5uGPf//ZqMwfvFQO25f3NyF+P2i/n+xhr0e6ttxiP8+
R5HiFceMc8qSe0chjx0FMieWnAtGHhzpqJL9Cwv6Cxf5fSfHzvHhP7uSPVouBPAvQxnqf6M92CvJ
lFKCk3tMoR7bgzABmIIllPMjxPd1IS/ef+kAgoZueW5Jf26RJzd4tFXY6fv/x5b56zj6AyjvbuPt
/ivC/gYOPv/p180D/j/66nNA/b5mnX3+8SXBCo79D+C+3eNRRfsDnx1/5cttH398iQjBL19MX+5/
p/B7Hbpof3wp8SsIP8YVYYpvmBEATB+G7SOevNJaMYkp1VxTkiR/UJi3oVpMqP/Y78PfL+rBvw2u
jj18W+mXL5r767YN8CSRiiqcMC4J50zA7V40d7fvgCfB5eR/2SGhuZWGvpn5Iuh41uZVNeGP/Thg
VCUiDeNA1bnJZ16eN6oezMdGxq64cHkY+w++pkl9Ch7asaxhIzX72RgZY0rWituTWCS4winODVNv
+xbrdaexnlg6L4vI74SZhvwcV17255h1xB7QrNZxb9lU2oM2OmG3ja664pw5G/OYOuNU9cskMRov
khrlQ3M+ddg2Ee8SykY43BuhsAuTzVwrfG+7n1rn0fmk2nqv7YJeO40jThftqst6bPqrUS+23OXG
/0R9rg5er7JIxbAmV0vrcZ16uxCeYtqMJzG2OHWdCGdFW4glW6k72BYNMWWx0z+Jhbl3fVdGfsI8
q5d0bebiDXamP6/qsDZZE11Ke9uHXaUWcSaY6W+SZb2tvZ9vmjkZ03ppzX4iMz8Xbp5tynJfn635
xOfUiBB+nWbbFGk/xHVXrRhlpk3KrB6GXaTz8g6pdjiwVgibSdYl70JbdCcy/7nIF3XOUcB0H6Wy
b+2Us33Uuqa7SnvUp2sl28u5sOqA2bTeVY6KgxfWTdnQ8zE5tIH0JzYXZYY7NOzbKul4Vk613g0+
+clr2134BRc/mbxfVBqxRR8r5Moq5UCGhnSth/UyQCygTNhOdWnlaX/VRhR3OhmTa9+Qcte5btrT
xTeHPqlDm3oV1OXqBdrTVk6vSUAm68ca0X3FW/nB57lJq9mF3dz6/ldui16loqXufMnx/J5MU3lh
/Ij2eo1d6vLptahc/NWuiX+vi1nceMHFyeLLxaVOIZdG6+eLyTbsgnRmTieeFG8cNcndZH1Y0k4o
8kZMdjrH4ErpLI24HGosfkZr25+yXONz6ofwKSetnFOMSrxr+8a+oXVFz2wlKjBTjBfRuDf1wm5W
IeKbAbvkC2tlfxbs2OVnsl55So2NP0up189Lp9sbNw72k1kkoZmvW3lZr0v/WvJEHMZ6RCjLXYXP
RdVYk1o1JEVmE1OfucnZj1OQxa4a5+rMsWYEWyemwGmlQ/0LISQ5kNkvO0Sn8e00OnUSfcJNurYE
pbQ25ala1LSTVeA+Kzius17JJW1Yja90UfoTRMJ0NVnW7+rCNylmvjuYvMWHdsy7dODmZ4iu/M3A
VHEQbVGdN/X83raFSou5Ht5EPctTSoxMEZVNylUu6VWu2qnKgvRi76JSKSJFvevGPlwvxNkbOslQ
ptNclGnQstwnSe9ZhvIVHxa+0I/APIp9ojlN19UgmhZhWVJr3efCjuhnb5Y6dfVoL7StOdsvpinO
OjHGMxpyblOHcNj3PmEpWxH5mAtD+tOp9vhCc1mlpI/5kCbKvymdyQ+JL9si01aIPSpb3J4KtU5T
aoayTSlR7S74fBSnVd6QJU1oPSbpwvPpNEZyAZnxhLfF8Gae5iWddDJd6SYkexT6/K7M1ZBxvXT7
WsxYwc28yMYVjL13OKlpSkSudzQfIK4Xj2nao1iAhfj8S9OtZhckmS4R7dkJKmbpT+yw2nekaYtD
aYw7nckIOQz57jOoZ+CoRg9XrlzK9yX39OfYqOTzXJZNzOpKG5NiTJbLqItkLzyvzjmxzUneDOQd
qkad7+dEl2kk3O8hOYQ013Teq9mu++BW+S5ygW8VGsJ46JuJmKytV/CjONjX1dp19OC7xJ/MIoqs
xB0+V4QOOivqulYZrmW/VwNkWIKl3OWrCNf5Qv2v5USmU4un5a3pwcbYKHvKydBoOPECndU2Xy5F
Pyy7gTbt+2KI3a8dqhuc2tXMF3Xr5BmRfty5EWOddZJPh9UKDp+U9KatcXLWqeZLQ6z6gEbl3k58
WQyk+sTYk9l66dO4xuLCcO7SHKrFgQz19NbMQmRDU00Hrhr2WvSJOCl1a9/nIdTvE8tokXZYudRj
PZ/VaICSUtqpPkUR6TZzgXxqVeAklazllyiw+U2peLenpmpZGmVgZVokkGnsHP3O47LKutIinMYq
sHO6IH1TN5M8H10S35WzyFlWjNz+MqA6WdI4oXDCKkrVXnelP8h2cF/AlUeRJXTobssFidfDsELV
zHvHLuy0jCctVdeRkBJnXCX6oiXFmqRrHMmuHTs9Qa1CzqaxY3ZIsQxvwVnfkMrifTP0IYLrzKjn
+1Ha6nKavdxBaPcfTBKWMZORtKfFsPTZUojOpNF7dDVbBN8qW4rP1gmpJZVNp9dMDGT6QOdRNHu/
TAadsmhZkubrMH7Qji9vx7Vkb4qqbMkOeT33ZyMxeoGKbfSvsBBqszkRcid0vf6G8rCmeGW0S7vY
9OfGorCz5czqtNdgsnUK60/BI7ELyEJW46MLPhuUG7NxWLhKez/4zNlm3q1liS5DjfNd43pyaGeT
/Eodn+ZUV9xfVWh0N7ks6fvBsuEXV+X1zhSATdIRYJI7SFl3F3LiI8nKwTRnts47ODqqFOSydnxf
VJ78QhLRfSh0kDtemua1waBf71aEQCUuJsf2ba7YjZrdXhkcLltpJ5e2vjbjflRsaLKW1+GaGdns
WTLFvryxQxdkc4J9SfR48a1G+wha3oVm6RwUonuk+cef//0+ePj3VbT955ubvv7Pv65+F+afverk
S9iUuP74oo0C/HEvePoDJdhw96M/nnCAv0D59zr/X3z4iAI8kvR+J1MbgmYAqP+aAPyuCP4T/2/X
P6B/QYHcAdFOgMWBWMkoYO/fyQAH4v1ABhL2inCcJJxpzeE3+Q0ZIK9As2Ggtkm5fSD+DheQ8Ihv
qYBKONAN6B8AvdeSKAbP+ZYKeDB6U/PE/ESkqSedNms/SrzHVCWqzsq6NaZO0TDl7Sc0i3XmEAq0
qudD2TSD+zg6OQWaTsIlbdxFT/La74ZI8zrsTTtPxXI2QoxrCD62Qj1JkzgkusvKJGeGnkpf9r07
4ZK2qkqbyk+syYxRAc9pZYYWoHFhpwrWZbCgsC6DJmr1SW8KJkOqW5/T8dzPeVOGfaIoVtds8iZR
WbmQUX3uQknCB07ybXU1wtsNZRcwPHq2ZvRVushYweVCeBPpKeqhFt8gVqq+36k2jxhKNwMwq07K
HAUuDgnRovFXpm6K5nOHGRmgmMQpzGpX8CFXKmvzZIT7t61D43iZzFUNh1DGmMNfvAgFPK0VvIZt
tw3BsISubWeOTgDZEtRmcsDb+t0wONi2LahoP33jjX/C/47YH5hcEUm5TjgngrONZ35rcmArQlbF
1H1cWTcbdcYEz1cAucU0SrFrbZDRQhVay2U6CwOwmPUGxXKKxSnxuZDl6fPL2cjmN2RUJUIJyGoU
eKiQItFHy3HCRqrnOf/QYy3BNeYCm9nuiJwW5PeNnLejGgGSN/Ya0aqR4+XsBmiQQW/qjyD9k2Mh
IKscLQTCEhix5JLB6WyR+e25rMnkiqHp1QcVyiD867Hr67E46brSSX6twSC5BLQH/litKS3XNnQp
akcCruWWhE/LASrU9jJOi57szg+NiOSNKsaFoTd+rsbkU2BxMOXVHHJWXgGgJPL6+V2AFPF4E6Dm
EoUhnEGmYCoBfeHbTQiieRtFs3yYaVtYkcpxZXCMfJiCXk4Au7dsPNeoBiQY0ucfTTAoyo8frgjQ
c0nBtQjFjIJQ+O3DfUf4YFdmPkgvhyV/P4y+VO0h9rIFG+YMgM14DpV1iwEeOl/QDKN+1O1VvYq+
Zq8bukL7N7XObJE6jsSuUwrYgmx+YZDt4q6zRBX6TRg8peJEDvWWTqbRBrin7NpFUcDPq2IWVIx1
1L/kvizm5l1T6wKimNuuqn2qxYC4PrAK/FqnfVPksj0sNIgtcPu+gmUu86Lgzpo1A+SdZewGWJHv
ky0qkXNbTsrRLMH4WIM7dVk3zmXsM6cSILxZ0w5bbDOqFvgsub/L2Mrt1jgWDvY1835LLHNjPbyZ
1LXZtjfX254LpyHu59C38HAeCOH2DnjfMC0XPZvzqUmDrHH7CZJoDSdc9ytk6v2Ke0ubXV5RSXak
cdgC/+m0LwBKRpKoxp0tZiJSXReNK8EkdaPMmF835VBLdBvuE2SlTAvGm9tYzc0vI4kV3JotNZz3
T7hMYkEuq4KGsjwtchqKuUtXBNEACXYdI1w6NdW26oTnAHvOdWFGdMPHuGU1f7/OFrkJAXrtwVd3
QShji4wutPPksIAQ1ZPUDbISOgWsNfSAkfqJtZ9kERGY6eFWZuu5yzfiPqPO0YT5nfe4n/atKfvR
nAhXzRGwWGg34zohSVH9FMcpScq0VBMp8vPS1pufTXHQcrigeAH6fl3n1MCRPh8b4knSVRLkXA4l
CEotBMdRaFiZ435dk/gxDNytZZavq26BGd3nPNR2MxyZHMsVnGaqCwIvoW4nWN3DJcy5vm13rPAR
XWtQ4MABWaAdWDFOqptuQE7Avt8NVVeCV2lLtyhrOknkifCF6dt0Llkn+E1BZgGiWop13wRxE4Og
cX2H56I374Bpi1letmpdMFlTAYRKDRfsvoBS1ovyKmBl4AH3f0DLYPPvcO/tZFxIR14XSbHlbMFH
tEypcH4EP+gW0fbobUNChRuZ1v0Yov3podqRGWSgKkXAz4EOtkjjqc1Qs9RgDyiPBey1U8DBY2Z4
YTA+1IUFifLSDEnX32GBJghcEkHLHC8ZWYcG7VAV216ei5KbXO+9J2s9n3hBaiYPJcm3oBYNWoGk
PW/pTc39NgkmWGooqhjyH4PmGuZHlm48Z5CTRHmj5MoDPoAosJQuoyAr9DQDPrAdUc65L1wWZ121
RZqQwhJxwRY2QVZeQ4sd/5vVLYEmHxQ1qTWmoCA/AXqra6hwi+s+iAiiCt6vY9heqr7Ne30VG2Bb
7yD5JgHydcT9PN3pSqtmOZlpMll0t4CGWvgrTeaByRM6hbFNsjqvRqgufq5jMadtlxdcXaGkkPys
M0Xo3T3huJ8JeXuPCr6Vro9KdALDLlJj6FrqREPf8jiKZjGhoaEtvSFL1xqUuXFejSvSErAtyB11
XoiWnVE0xak56RZMOYWOxnMo4QitwAogjokEdRt62hDMxyCh64iY1na6AVG+VOKnCc+zWA5IEw8u
XypWjiBAyS6CrUnCN+sq5dky7//uOjQVQsICuOD8yUkAZ+Zetm1zc58bqei3hAyRD2X/EEEPBbNM
FdVbQEDUAxwBtXPDvc8v4whuAIuBjgV0oqSA1XDoSD2u+EUJYouVrAeD9Cj4LoVSjdiQzjAaRJPf
ZCx8X14UfFbKXD3/6CeWgAcD0lEcgyvAKRzhxnUJXRnKtbmxyMmmfgvJQkE5GXON4OUh+bB66JZw
xuw4Lh/znIgqfOcEADofBTyBNruAqFIU3BNsenQGU5WEvvS6uQl2mCG22X2A2aIG651WMUI6P0nK
0EG4PYAY75d6Gi9tyIsJp2UtVlYcSGm3lF0iDNjQDQ5Kno1iKwi8EV/3dH9jBkDS9mdTteS9ySY7
iy5JbdugOL93CIWheBNzHwPaY1VKTc8SbnkpL0CR3IDGlHPZfhIo2YBDp5aAul1FuXHdO2i+bF7c
4G4olnNgSNXo0gblMHRzKCymsBR3T8ei7vwGhOQ0bZXqPv0XI3jfp75bN5DT66kt+stRzMzlJyXB
W9Eg1BkmUw1JVOgDHfs1fKjntYMaQ0AJhxp/XwED7paoGlD3ywiflXXlYbE8CKBaF+u60cQDJjnK
yU9IiKp8XechkvkqrwSFchQLA3s8CAaayXjZNX7tQO1f8hy7Q57k+ahB7C+bsd3xpJ6LMU2qQS4x
WwuJmg9wLgEq7eo2Yx+AT5awBFDvLSwh3GOWqfNUoNStUdklg4Tv4LOVRsh4J1PgW71qxhXDUtyw
clgYdNVWoIEy6UCyvxDzYuESek9VEUQXXPnwBQJhDY5SQ80FMgmYbTvgnC0Gbq0S6QAjeksAUo2R
d6zaYRD9Zn8KhX5DgPUEcAGwaDNreKH3HtXXcgNacZbQNLiuGqjweA+aMqTQPQCCrVaTGSF4HJ8t
7brD6uCs7IH5ejGiTGvPy2r8eVa0XMzFMASYTcxoVai83bshAB7BUYu1PECzJk6/gUT1Fb2TuMAZ
oSKEYkqToswxy0w9RiBTyNTg45K5IukzdR8aa5Qr5KcI2l4D7brc+jFBl341nZNlavqlxSDhoiKx
v3ngA3RMKYy+6P6aV3Gd1Xmn9Ybbipqvypz6pK5CH1MN8igXHxHH69ieowLKEkmrGhcAsru5Z3g4
5L0364UMpnTNa58vs15uIGLWsLY7n/Nc2xNcSbfBV8rb1e1QDlTWn5H7eMIqRjhPbxovxl0xsgD7
BJjGqNwtjpXwIGW6jSg8sJsHexNpN3hU38MpLtR2l4eqjAa0ZW6tFgRHcg+h/2b2TChAFAJTWQBV
hD6mam3VkgmkQvvuvn6AYgDQjsGO5msxzSNULy6njYlwVFrgkUGNENvPr+FJ8UjUVjZgyIEnYKrj
NnTrVCjGDo3XmA7VfG1xkOXVUgOZ+IhqBlznUGtbQVl7/rH8GKEReBrfZl10AoOZ4njvSQN91KAm
cwNDa+u6fOqtrS3fjUD32/jBJ2KQJlWgXpUorcJAoLgUxmqwYFUYOK/DCJNwwKwiHYuiz/zq+4mf
cYOMwifgxay4BWK55YLVTbEJb/TIO7Ajww3RkLg7JwBJMZOXSZ0lq0IVvZZ0TdwNhsbzVrxKtIDq
ktcD7w95N9ANVEPTCEjtA340o50BVD4sq196DWWfF2TLCBVCuuugzYwoLbO5HdpQ7UjdFxh6mrXu
OanTHBB9ofag76/Q6kauxl3+nfr89Ri/EXZACZOMUCUADmv4fRt1+FYNKKSfhNOxe2ddrhNzQrx2
ugBliTYz2kODe7L9FWltr3FGiIVmyB5SXrmIC13mcV0/aIu6wZxOzQpBtfdtpZLmQMwE/OC0p4LB
Sdm1IHAOUDxyaIkhUrXjO7OIDgzYFtgW0wlteFeSg7GqGYBlAqMm1YmDCtGwXcVyZvF3qB6HublH
BADmS7UEGSaBKgajHMd4gMh2moyshnfQfpCkuy1m3gGcdl0/QFixQOChKUmmARykdgvd7Bj4Srqd
g7SWvI+z4fAeiGWbIEBwD/HQALWFC0IzT6rY4SVvYwlSw7BpO8X9jTmyRdGdxwFmCaa9Rh04WypL
DGnsQmlogLm9jQZg4pnM9QLu4se+hcOONdqKPmGodPxLq5CcxQVZHazENM1su13vQMmazudmWspq
D43ujicpmaDY51ljKZkbn7Y51oO7nhsG+ugpCCl6RAcFIIfQtO31QBKTCijrQwmd9GXZrNzEfP26
9+gIPkCK9LL+Dhk75gvAs+U2J7XN/VIYDz7CiEU/O50vg75m3I1j8zMIJ+V8vVpmIKVt0BCKpC1G
aFYfZsq3iHo+1RxnOBCcMbgAUP6NrTxB6aGFkraUPrmGYKvWj+I+pS6sUuAC1FYjPBF4EqTev/1c
JiiMjymlucDHmqqAvqCb+MqvMUfwXN70m1w+0bCVoX5mkFZUJQi89/xzyZECmNCtm6C3HeutyXFM
jyrr6rmb1vV6JOD6sMfYeuayB1YAdcDScB48TL+h/QKiRyPethVQY5d2hV18D0oCL1QH0xFzC110
GJ2Zqp9ByUmmafgOgyIbLv82P1FKMPQMMFA6DIs9zk96xn5wnNnrOU8GIONJaTdH4J3sk18BahUG
mu6Fz6EfN/YgjWW1WebiDmj2AJTigfHlzaRhzse6WMHgAmMNaqdd16jtoJ8/2yMFKaEU6KbADE43
kRQE88fpFCapimSuvXgrlmWGRCKd3bxo5myBv5qv9dlNrS52gg7ULycY+nlQwEvKcqB/zy/miWNT
KmGMDMj49qOOewgbGosBWhrXtRwcxBIe+IZhmegVPKtPVsARfT259ePzzyVPT4ErDqQTxiMhtJ6o
K9rMBuYIOGQa1aJ4VnfjpnLX9dzmZUaj2FTaNYQBhi8A4ttQXj9AW9OzrWBE3eeAuqZk2fiLIG6F
ZT8In75p5QIDH2Te9GY6LmZwr4mxK8xeqdkHwGc8TKVwvz2/KfHEE1kCQvBmW7LBsuNw1XyxqxiL
8fpB+IbREC3fDKRdErt3apVNczqCZrzWu7qUbWlOXU372GQSVxssMf3Uwm5iRwkg7hHoYRXAj0EV
fLc2MGeDMhC/JUMZjj0oBCnjs6blAcaWcIVS5a0ohzMVuSzZCY8IOMaHcRvqR/t7TEYnsWnhjtut
QdOBdvb1BTSH/hcYr5ICJGDVFwYmQRbcVOxEIsfFkua1xGO9r0pLE30+tGNEN2uIFY+fHsyxLuMm
/K3Dshmu7+vAgCVyEgxszlSk6g4wC7SZA4RMD978INlXs4USuBugFxcSoKgN1JTLioVtfa2WYplO
gE4nfo1pUya8RmfG4yYQIBszkI5MjTBd1H0n+z2pNtCOhTlq0M8FpU99UwprVq7KeD3WbIvQNYDA
/amyud6AW+O2M1SkyuNZ70rx3eT79PFbUBCNxaZIgCTyOEEA1nIFdFOa6wfFmNMaQ30ph0TC893X
TiIXJYNVVKYAo39n+/TJAgRkfSnF1mHU5Els2siLgqzt+NZIs5HXogL8BlI0M0MxZGLK11nvYDkr
UOAWlB0wIF05+MgeBmICcLcHCgwDaps8O0BChjfzBm3dkvq+9fLAmpagwZfyXsCETRph/GEoUiS+
PvXBs2B2aWsldWaIXpwuaqz9mGoch0LuIlkUalKQAiBruLRytfXoOxnySaKSILkyBrrU1qYnx9Bj
rmAQpIce+duHFAWsj4PJH4A7A1Wg/VQuMABzBnMhDLxlkbaeryfffZdnHQNSLlUC/gCdOUUTTo8b
mzmZK2GWan7v64iMSCGXwTOmcqggVesE/PH5fPZEAudqQwAwwL41I+H/BR0h/wkJaUI+mPeW546x
DEaqgRenZAGRECBjsHq8nbjyeRphxK6FXj/kumqGkTCQgrrUNtAX+15wPmF9MLIER7DhQWjBPC1Z
/VzFJQRv3xtttkyysJJBuS+hVQnw9x6gTdCLm68bNMCZ+BlvAGn9WmegrPHySthl2iovSEFwjHIV
IGL0Dm3Wu0+U3jC/flRFT4vmZFVgi3ftlEOXP+srv3W17wFoC9gZorCXC6DRh/ahY/3m5hLmouJZ
RTQgj9T24wJTDl5CPzRtFM7VZavriJfMINWIXS/YFtqtcgPQy3pwHsjyOLVf5aROb3gWBvUILC8Z
0Mbp53uN9HlzH2MBCHro3cPcA8ylS/iPjptQ+800+RCJwxraMTcPBN53Ko6H4PAIM5NKLAUMVzcQ
3t8DRI+rpti6aRy6dhi8G5LtEwxCm8UluQrz2wXBhF3zpc6hyVV9hB6UL2+f3yLI2o/AIvyfQQmj
clIxiCNKNtn98Sb5DOOAAUrqWxsCTKukJQjMDCYMRdN09U5YPs7h1NO4yYKlwOA/xjSkEFkO02zw
0lR5gAtzaB+DxRjuZnTzvzk7r+W4kSUNPxEi4ArmFm3IppMoQ83oBiHOzIH3qIJ5+v2qAe2OqAhp
d68UkthsmEJW5u+w4TrKcpDEHeIrTypiNDPiICyTGZ677HreV8+WDv+GItdi2gP11fOjHN0wTu9d
mtHcuRsnZzbto0TZzk+yNa4cRgALYXy0Bviv/mDlUqqXycrydT6pfG3z8VAZIIgxAvvrgRqp1Cfm
z7b+cJyYfvmUlozu9qWaegDwY7uuUG1RASw0m9E8O0PId278ag1/1MdnpH1hWH6utwsxMRXNy5dq
BohxD7Y1StN5B0GusuWuygfPk2dEwcLt7r15gBt+TkCVOYHa7TqEhB56R65ZNlRaCZKGDEx1ZHVq
zeZbtOd6I1P07151K+ahdVMIPQ8S8+DSupTZyRGz4qhTO+5k8ZBApnLDVo2hmhcEgNkavy9dL7Py
c6PcMl4PI20ryHVaTmCvzzGks/c1LpFguqfMqQU0WQEaxZa034NiLQAQ0fy7XR1/2J/j0Cw8sOe6
mIa0PXWOszrOkzTHoJ0PYYVCcbg4hbUixjD6RB/fChiK3MkKy6mKaWhHfcuNWZ8y6OiUd9FggiU7
x3QoDO48pV43Eo1o4NC3JWTQKXFj7NoKpXGKR6TR1bGBg+zTU9u4HRfRtdqBFYoF3qmM2yJeEv5x
54nm3rTM+C7DneLPt+glIM6OiTT8IXk0lY0wIerjBGj9Bum8kv5Ta3ZYFT6lsV0N/YvtFYJvb0HD
uRqtL8W0XCBrWZmXrO30ei8DV/+fcpbQPYxZO1oPe5OCsIKW6XEe807cGnk4J6fEdgcve5d3acEx
yky0fPQ3z/N1C/qf4Y/n2adk8VQ7+BF4iN623Hy7CMy5bN4rOgG3P64IlAwn6iuRoPXv6mamdXRG
DxLjsIkxdtVGsOmzllRaogISbmytK7G9Nun8FwN1SpD8McUsnSbCnGmETIMbMI04BCq+M5eyig99
CCDXHJlwjNqPsM2g7bjM7WBydRW8n6aRhk5vCLv+LTRTwFFUvmxDGQWZer9uij3Br+DnUjUEnhtZ
cTZb3Sl1e8OoohZCPLlJJqOALIXICRl9mBscqIggXko+VhlKo+YEI2j6YCfwu7wuIdujpgfXA1LP
6jb2T5DUUzvel5blVOH3Dy522RnBIR5ZsdWh65S/dMdgXF3+EI47BlW0Wv5Uf9nbuMRpFYaP2RGV
mqPGYNUjpNlavNQu9MC6MUG78MYOYi2uEWsf9+/WtkCsFgVx0SJQqXPU1hyls7EczZCi3L3vdSVO
6aYW3TzuPeSwJrGRjQejkhpTo3ZWTfLO88YKLXPUhmqEo9n7x10UkovBXbv3ubsKlMvFMmiSyu4W
TcQx5Dh9fBQKRCu7ASJY+PiubYm35rWrZ8xNTzuBtyuM7JZ2iX3fhCJpD04aI87DO9N5+Z+DBSJZ
n+xBrGVzqQsaGP+w8wYhS25xkGYa6Bbufv0kgIW93dlAaiiIjg+BCXL5tllz09Gj9xqTd3XSwCKe
2Jlw45zZlbgCpwE0gksEqaiLzlrCIT3tT3PYpG2Fx2GgmFUXO+gKkUetKaV8GGNh1OfYEzmf5crN
IM2OSuvISft0fRlQY9B6AciCfMky07rDaen1N2j2cH72XQRA6GHCSv9b6MaaibDiXLM2Lf7cyj0M
Bl3kclISxBGBlez1L/Fky5AaFUNqda+uPdKMVW5V8KuQv2sSvA58PZnlzL2g+ogKtXoPZZRDq9RN
uQYvjAmZvmCKvorPGLQ4xtzkaX/HkwLPHtXMycuD7YcIYu8Dw+ip5aUqrxK3OXEWeRiSOc5kVMyK
FvuMK0HjfKYYkHSZU8qw/+xAxhYf2wlx7GVrA+eq0NR9pgUqDZQbWp31LPukaqrTzh8UIxKz7LBI
Y4A1nrkN7f3Wt7auqU9fzIaWQQRV72XNnZoofQ1mmoq5ojGKIEWpbq7gGfI+WSvd3A55qHtFr/Ao
K67ZLvybV5q0ERDWVzRsxyr7ThX0loNVJp5/yb1ON7PjbJvsUv7c1ekRCLsMb+swtsLlLsdQxa3a
D9jvrIDDGvtAy3AHtJJ8p2kWg75w9hD7blTVZdnTwqbNErtYxgqJ0aPJnSSR74RZo9W9CSYzL+2z
3aWYFu+nwtXYd+bPCceFqUtfPFmHip27yIo5kQcfDWJmnO2sXDTS3vgLsN0o+T/7Nk/kFCbPmZra
pL/YeeOlF2yRIXt8u0rJF7AoZy6pabg5n6b4d7QGS2jAnasWktZsDpmZGH3/0nutRuD2DS1wFL6S
+8WPaw7Maqiv9u1+MRGmuGt/CqCU1vHM0x3wrPerobuB/eO2KYe+iRz+080OeNWS5l3s91D7YWlr
qsPxvZbjmoNK84XjrDHmw4zJr/2wZNWMcWYbYvw61hoQ6iVLbP9LU64Dn2Xc1Xd9dOdsRu52lfDs
REphGUFi3lp2sI5zJBerbdOzCoBPP7aAaQXtlLB7zU15tlYwNEbT1c49xqk6HQ/FxpLtD6OZ1b7y
o7ZLLKM9Noupn5dku2Gz5+pFtk2iYQsvVNz2stS4ZTRsa02q1b1MSz5Uwb3trp5KlmNTJNeNad8w
SjVpBsEaUY+eVWlSkM4AvZnoDkOaO/FHCAxrMu86EObFOxktcoXmuJ+xmPq2HqNZzqgfn/Ds6JLE
MFiMNn40KevX8lpGJlYW9YBtoJ3n9+zJvi/xhuXJGgf3JVbVab7x0wS6LcrMKsUxaxtu1x5LZOYq
fBqZR1iToxL6fuWB18HBTxtAZCydlk+FgrXIWB5AOSIlmrhNL+a4WoWHq3PjapQyNei8s3/2uggK
K1CihpktCgo0Ux12ulIv8Erc412DXPRS1x6jgO9EU805chD71VtHY+CUk7Yz5WVth+A9SgyRHBQu
Tw7Hyl2N7E7XlqOKwUbBafwJbw62w7qzzVNjlWg80efGykloCPqsLqLBtYO8/egn3DLzVFg2ytFT
IWXiy7vvyDXoIMcdB4Z+Iou4b/UDvZETXZzqwuTUpbWcs8qbw29u0dtUJ7vAlBeNHn5ZFeXD4HNV
rTlVnsoP+2M2GVNsOCLKpn4FbormvM+s8n3LjzGSRtb2LKsg8+Bfs6bQK9gB7Rf+JZsDfYLIZ01E
r71NF29+l176Kxy6XUSiTHv+tVVhppd+brITnf2McTcJIzqBVF46IVHlBsWsEdJi6SpKQcLZUkK2
yb7PVNgW2ICwENbv43DVBauz2pgjmpmd+L+9M9tJG8MzC1UdGmXnZfCy+H4wXlJaOe7QfjzVtqfZ
V6Jwjg23dT7s90uWaGwQosncZURiIjR0wU5hJLVtIkeuPp6nKgUXetzFYmXidLpMbgoy1WKjREhW
93Q8H5qw6wxxzjrEq/8kkwmIFGeavEqVA5AxX6GrtE+0XmDaUIgBbTRrmvJ8vciUfv4W5Emjpoeq
kmuf37YzI4+JfckDDDqIAWvCdOOllX7oWpXZrIZE0+KvJaNh97qEaxPEaEWvj8l+gmMA38SqMaur
1LKsdVkYkD10r3uJAcDmAXDCXANg+3YZl5P+ZiRDLld/r9iVnDxOeZMkFBto27WBfops/KIcvvIQ
mNbvlVvnbIKqwT8Kn7uRLWXp6O9pZ6xy1UluG2RfY5tng1gb3b/szHXWx5qPSNZUy0L34bErWj3j
i1ppkiLBPsDfGo/Ggcc8r/TuL4NBbwM7lVhsFXC9Yof9FU9aNnZzdeV11fn+gkK7kw5A/dk2gpHi
ICTWMBt78pUAzfEfsz6L2QX7sjfxRzXP+lvybtSPaFmmLdu+75WKJ7Vyhf60B7u/vmRzPMTiMlA1
zfnORuWDbmU/730R7Rdjf7KF22jGe9gosmD2a1bWfvp7EQ59HkMskDRi2JmTCRyfNsZCtOwfUhsh
2cVWJdfvPG3NXy3FysZNlEFeNffz2Bp++SD6qpgkSv8unv4BjaVYHss4Hulp7aHzva8u/0gvu8Ep
OJgdZzgVmGNiP6pHoYGOxJV6EhZsHoASARCYLrqyDPhYLPWtwSwORjBoeqeL1qoX/KECf+JLWNU9
c6vbxPUYPk4ZxnygjNpx+I29KPUfoZshYgMDdeP5m6MQsX7V0lJOzAlm/aD2IuAQYao43NGRzFpH
5DJlZ0debhft51JmGrLB+K8hm2Gd9crdEAQaiIG/7JgBLm39E23f6o1fZrj9jWh0Y40e/nqeeDtN
QKnCAoA3m7Zj83C/wcnSsu/remycpyljm2misvTnfDw6BZfmFReKXjmDPa1NhtpO5U5+v627Xx/F
j0wEzDfiaztgekKLjYXY0ZDlvyDJXuPdRRKuT0nZaF3sxo6aJc0fVDw7Ex32tvj91Pw97f8j9s/X
20gNGMJ9C7UD/k37x69Xypibyg3mJ7t2NT8nO9fnSu8UACAVfVeSVVhoo7D2tn7fv9aG/wVlautv
+zfUAcyAZhnFsuuwyJ23+CwCE5/GTOQMoyxofKojo/fUHTMwDgIlZDU4+XRSbdOAAITTyI1KM3zN
yDs36dE+g6MfjP38Pawz7W+U8jk62zAutLAxv4pWE/8qB5UGw/Y32QRJpT4URa0HtF03mgEretUp
AY5afkc7/HTVkXmEsOQe+BePoveG//LJoPBcY7AfA6eiRuz1skgpAcyaV348n5VuO+utSlcbM474
Sz8Vv16BP4LiLAFIergG0zMJ2aI7ePMc5OhRu0HE6jEVs9bZz4rWmm3lOgSuU3atv/WkTTi//uKf
HkCBOd5yGO2AxS0wrh/Xnj0GWNRCVz6Krcvye+C04n6ncKXboWfYG0CVyTB1/0m2Ye3Xh/H2/LW2
gi3dx04HOv+TWkFOlhqSaiofcR9tqGXqcRuAsDNaIh4QTAXHurqu+l9/s/WjpRXqVQs6kPZDxcIK
+G8BjU5lCZre2HhICYNhwy39mGH3FORd24/R2LHvvqL11LTIvIEOMuj0JsxDq7dyN/aT+JPV5jl6
9l8f29slivGCayF4pElmc0jL+/HmeMOKDMCPzYcdVhGbuHKUIUPatkQngjjm550NqjxPdw7if1Ok
rivh33XBhipGrGJbFmQtWr23RdLTjkzX7h8KVbgr2tztmiC5VOaHJRk7Vx6lNfrmt7LwdDtD4k9t
feskzofkEHYYYYChEz/08luhSgIPfqPQebuUSThxRWB7NrSlcH8S6LDNKAT7of/43RS3LdTWoHUC
kgpy5qQgEwwHmFSRNFk6O6b6zUGIHyVN0Le2w4UKfB5lFFE/SZpoBZRGc5fHvG9K9mbVDU3QP4Yq
LOOXZJ4Nj0gEY8HG97xuTsDd3Jx5aMdL4g1Q3D+Nvlja4qZdO7P5TxuPSfEtNSzcTE7kDQR0GKAC
tOh4oRdDM+JNEqDxniw7oQ4DbcLkuEi2uOJ7995V1HB8eaavhaY7WtoksxrRzddgvN0rOggEYt/1
GntN7zAl8SvlhFNzioxAiamgt2nwMB+7oLPTCRoWQ/bKeggCutC9WHgluNPHBGdTlurYJ79XJzBm
h+ieCMpAWzMVoSJg4abqjDbhDFIpq5vCabTUIQkGvZJLO03Ji/AFvWx7NIUzjONd35E75J5AQVLz
5dcPnPXTGsIqxDOHIBcky2L2/PGJI8YidSeYwscdJW6306f1YyAm2Mcz4wAf6FSGsHg9pBCGtU2K
vW9c3WZJLXKptzFzJcIjjFZ31NLBzQO3n3YFLdV8Nmc7Madj1wVe/DsS8i0Hie0feQfVAwcSIqG3
gjUHyzkAsNk/MAy2ov4Lb37q1GeMQExHuwdzd8uttaFNCFg5GUe3kpcqXyuYfnN933ZahN9yJNiN
PR1WF/hviogZm8BHrKmHqQqCNf3iCFI2ChLFCtf4GNBn02j6CKOrP2yKGAt2VnnI8Dkm82SET7Pv
VtN0qukUfBntBz+VjR54kPsGwVdmaGe4rBRUVhHOytgYz78+hx/lEfRnKFU8bF0kZVo+rdKbvkEt
6Jd8qLYHfzXGHmHAEFdOcjRmcK80+n91B76JGFU4sMm+tmtbb64anEnHTC6qh51Q3Dv4buvPyRHI
GBY6D6Gz/Rttxtv7RRkT3LLAEijOnJ/680J1WrgxtQ9ZmvsUy4rh2/v6/ftLH6Hoez8cNPMWWwqT
+O2vL/ZP348kPHDEtR3V2XNvzrwul3RcAiu9360RE0VNz9Q/uLYqSyB8uHQ2zuDfqZR+OgBuM4In
nCE4uUy2mB8Lggd87BFpMNyhpLtWQPc6ZO+bX2KMGllj/VUdDtY+G/wvv74A+gT/vesGJPvRl2hd
ELjCT5taMU8uVtRkuc8pkOunIJBDcE4HLwbk4aB7Yzh7Nmbh3zyo9tuuiE6QvSBEiURnyJp7c96F
cJSzVk1/j7Mo7eST77bN8hJWfb5edjK9JizD+TJavWa1eW70uIteXo8uWWznGv8mworBdfAR6q0H
rDJAfufeJuEIEmFj65kE9C4FN1mxhjBimTTcymF77KPc1YYvWFWtiPj1ZX3bWSGPZWEjMkV7R/f/
dsiJRdzOjW3l92OonOuua2eFHxEL0BfdSdaFEvl375dYoEleJSY6ZeoZG0Hjb27y25JC8CB9P0GL
HBVD4NtRZCrHMHHGJb/3r3KeLEGMBuirO7sNBvz1yf/8dVQu2DuMkIhiael+XNN5JgQc5iruiCXx
AcpyW6O9bqloYEe3+/2AK96EZXCNARpR3vAkB8LEUPPmK4chnruQHvFuFwDnV7/inFTt+iKHSXNt
2kevyvt0GXHSHXrSvdz2ySbIsC3PmKRjs793W3QS6mFHK3dDlUhQrYOthD2A6lzGoEy7sqiJpxC7
XYOz671Y5VjGkcdv1RvDgi4DZ1y8aAqrnQY9c9Cp6LVbkv0F6JXGcDeYsJB1gApe9fjlJvESUmk6
y88qTaSPadLz48GmmGrqSVOQOYpBoNkmLsHIsq0PrYuugctUlbZxVcqmG/WtTLemLCj9RKS9ylbz
UMYdFN8BGxWqoGwj3kg11Aa91a/1geJs0bBkjzeOL9mHgiapBbCkaqU+JZ0S8d0iNeSeBuh3JC0W
q37gmjhYabD6uNTQ4TZRkMhIZ7AkZG2eg95wkzGaeqNfvJuhwpETEmq5YjjfwBnTnCbOO4cjWZ2z
SLDYv98u1j6s7OU43zzGO3C2kwUNeVrry462gGvq6c6+Yj4bNgy4pnHiqwbVrIW55Dcx7sDFOmyS
uX0SDOxQX0y/U9qqvHOhjTvpjI/sCjL/W2e3jwVu7WbucxmwkvA4gHC6dGbAmO1/6JADQthWEkC+
je6U4ysTCZmQEVYtgbGoSjlLsNHsulxry+YCGtLWhkj0AX19bnmsQu+ustspvM+kP8hPORkRWAHh
F8QaHrfWCjtQTSNmxtVQwYcSD5AQxta7LkBhh9P/G8KnzD+MEC5ed1JmqxHyJMOX+iKXMYWxhvUw
EsT0CDNV5FkCYPPUlAWWnIh/AsEci9wUN31Sa161BlIIywg9ySz+WDdWo/SM0XmXFB6+4OMOwu9Q
l70R5zsMHUtkia9V6SrdmgFBuE+92RG+euhWWayfp37huJzOsKZ/KlScxGWk+ZqKl5nfs77ArUv5
F2CG5b5AiitJOKJXtfbZMFpjefHddTbGd7j3Guq+WF1NGxdY5gfkjPlqDeVx2HjgnSEgXUDrL7EU
XdmmINOTJqmmDouVWdmzaAvbvIHN8eEd1/MuBqAaUgtu1ir0evXsB8VowD1tCDuVV2Mt/VYF9gYu
XDw3+0LgpZU/b8taejOPbHF9cJUJxp4cVxXYQ3NSo6mX4SZWiA34jtvWsA1VHNSm7NlG9QJTKAtz
03Tmtp0LEy0muRbrse1iAUeAq07zF7ujy8uLKelPZlcJCYRbpkmKUbSP1ZNfOMmE0GvXc9Zzyma7
n+m2xILFwwZmlnDZWDNnZyX7ZUNTt0e9CMLA+KJEr5xTuJWunftzhKh1+bu6K8erjtW8+i33y7Rn
BvR5qW0iBVsV372xJkC94BI7cF8GJpV4l666qIdB8YmzScyXeaS7gDvbUw+SpBs/tpXtp6fGEaoC
wt9Ijo2h8oJZQ51yWktuIGiNvkLrjM8CdQJXJkyOG4u22mYD3eBupqmqk1qvFEJg8PNaJti97kE/
ZB1qSrxH50SBX67L1AdqR22RWppk6axUpI8ia7yVvJmtUGZ1HFBEq7kRPIxFk5pFfqhDg+iNKDRc
VCrd9rBN2++7sh29syzBZzLCuLtRnC9xIyIs05bJKtg0TNut+b62r1Vv4CpQ5H208VyyrVJi1ODw
rKDXciQ2Wb0L5GOqOa+Nvt9FBZtExq17Pf0ks2aGlfSum9sGHe1cu3OdAffysIGMMrf0I+gSFcF9
9TZpSA/2y7qsu4HI5+TQthn3NOwMP8cwWTPEy0Nt9NoTYyH44HpvRRwvtEuXTtKBHiHTbZb/7r28
su//vdiuBqBpWQeee1UX+uedDbggNk5fgHrrKJPSZG3tN8g0Zw162GuZrtmHfFhytEL7Nuf6Iz3N
FKx6X9uxn6IZr3D5hqsvq6OXhnITCKBHhzYDsqrYIorGra60VomS7yw1A22c0CQKs0HlMGqukz4d
Qu+PNpYaqy9tFGy0CdvfrA3An7dv33o39ER6cNgB/IJWiXVUUFA5uVjW1Eg8qVpQ5G/uHCbOynrM
jWAxdWAjxa5oxzb42uOuSr8kkMt1JIFJjH/K3At2p3VZKr2r76RkC2fBhrhD2pOb0E7qOAfkG7nU
yQDKVqzY3X4VwtAZ2MAw4gHUxUlYF87Z8NAANgd3k7APLhFggE3tpPcTMGO3DA5YceKkPhLfqeRw
kkTryvA0bsL1bdmGWw7B3gns2z2BSVSAS9bZEiUgOXFrHRJT3eAuhzKtHGM9l32j7y93iAPfC/Le
OO4LHTBAY/bFonU8Oz9b92zcz/uEWIpq0dzxJksKDUINsGO1+KBslCzXHlduTdWu8cKio+VG4ZTo
konnUK8YGDOeO1HbgkaLDD9dZ518lCwYpDHp/HGEfx6bY7aZdvotnim2meaaKLcgPonHcJIqJWX5
qj1BBKa7Snf/jfSH/EZ2dI2NVumo5X67NqztFFNHsKl4TLYCjmqAo+bJ3/aj0A4RahlogiFgtuq0
NU/91h6iDtHVYmd+k41nJ7oJ7cvG/O7Lc82uGsdu0hELW0O6AVXD1tmiO/ZIz1OpVdmo6lAkcSUp
8uBel7zivBBeGIFOBdpWs0yQhaI92Z65XAucuwhqw0Hb2Q9ox/xLMNZdk50zM/bc12q72Y2H1vxl
zElFIMkgRWP47HimJtwdlSSD+hQnqhYNngRt+CeEUcvBGAG04GBT9Bj5FaQXGyUNQlOVCAm5pjYh
Iy7d9GHn4JdBlArtXIz/Kz3IwdWMz252yTfRnEV7wf3vhlJ0zXuTKFV871UGlYDirUBRC7N7rdb7
M4Zsfu3lMQgyktIvO1hhJNNYWIeEYIrUi7pcXZEsdsmiPoyKYjQdFhMiF5Z+EzU6pWC96u8hCCLy
l6QsR+rUVTiwd6/FbOi1SA6y3nf3i7xbENmh8cMetNwsnZ+GTUKEIbUegxNDyNy0RzcrkyH/89fz
5FuMgvBD4j1hUgLeDcCLQd74d1bhzU2W1OVdVbaIsxFib/38qvniZWOydpvJ/+mLcQoxwgPPAPsL
yKu3UFxZOGMXNGt6l5dpF7wuTAo+Iv+WBBaSKDpjrupTzVZBmf/1F78lQ4D4GWgDF94M1sP9SQVr
GAFhmFWd3tbT0gbuBWB19JK7kIwZJNxIHKQf3Ky221voaFaZDmV9cLPFIc3GY0/t7YfiWlpGk+SR
4h2KQDm17399kG+ZXOjbIADEdnyUK+bPkUcLahffb5Vzs4sFNznivMfF9bmGfM1gbkvjTOxMm/p5
FM+BH3ycR9W27U1TEvLGCwmqHii/bzKjSQ6I5tAaR5V+Pww5kVtOX5dWZUnuUFYadRlJ0ZczEUN0
qk56qohzAcfdnhZxZQV+fZrWFf78F0YGd255OOctk3xS7Ixv4RMTaQ9rU9nnUaSrEdA6JbVLZl4Y
Wh0xdiORBh1JUxm9/2GdwjlOToTtps07e8uR8xw6buZHv7eMV0tSVAimuhIqeyzerscG30SCy3sH
0IGnR5McEGM8pOna9I89XPZiHio/Td0c36ypfR/1VEqfTBDSbpjsJt7dQUQhk8tCIeyuKXXIpzRx
7qpWYTAMcTDYbO56j3jdc4Gasq0744DGbrXUTUukzpDB6QyifWxoA3XMfsie9o2AUbQLp0VUjv9S
rLHAZOu7hhyKU6xWFMH3nR3TV9+skoyDJ9RYS8UAg1KnLaNaFFmT35RLWMePlp660d2K0Jj6IwKd
Nlyeln4InBY7dKZRA2EEK/n/Cy8YgMw3B7xv89GZ4swoTnuvJYYhmI0vy0J8UHMYnJ5k1qjBaGx8
cifTFMQWNmG/lOeC/Bvbv8kCUVLrpwUzAEbrdVzK5JSpYYAWuGoMqo1RiXE6+X8Rt5PmNwkjSAdo
V/C+BF4P0Y0Ty27dgjh3Nm1C45zj9DYWnuGjmge/Sw6jszDJH6iMqD4vFbFFsv+EbmjFGmV2IWEW
z0yGedaRltT45kDcr2yLbzKdJ/OV7tcOLrLtLeLqizkuJfwWkgeYsz29cxuasiCV3JC+iOVSPKig
1fFJm1dhjzTdewGDW0qbsM1tam20wXksWt1NK4xAcqCLnYSsIpsOT/29PUhJTtz/x9T3JmwG3kLq
WX+cnEYRY5cHRv7ym0eMGIgfcWgwYEBgSjsx1C6SgbfEGJa9Gh1BKy6qSTNHRShZkyb/ZCGrJBeT
Shjf+uTjCNhNXkdZhn1Lbocd+7dTSRTqcbbmDDxsxN14bIlHepimsQWbk1byqSwlsTihWyXTo+1X
w3BIZ9e7M7kGkoeZ/TIp7hC7guMVhzIcB/Moe/4vvanswmje5QWxOndGS+rVjcQWkR3TJlPf4qFY
8rMjsgkXnG31H4hByJpT144m0fhrIHhXBd686eKh4SzPDW/oaI9dnPjjIRtnBKlHayxm6563oLRP
pM37KjJx+/iRrNLpODENrlGdBu0RdKYJ7xKBo4ZMndp/IDSgDk8TauKAky38j2UtrUfZu2rCmeLY
Xy0vzO7KWQxeBEqUP/VVKI/9mFkvczWTcD/237w07V54m2fxVLrGbEXr6CIC4d0foEaKuK+UYNIH
4Cq48OMs3DXjtQhOXw3mAx4c4+9QJc4N+YbVccEMcULXnBx83jlwy7laJ9NIqUEN+Mcnj1CVaEAA
QlBXuD6Ma8wrPkLePvPZLN31DKvvNgdllcM7lXXt+9hp+8cE3825WEbxYQwM54Y3mzSnJm91kiHg
wT1kXn1jMjkcLbBbHS3jP5I8lNy2BJp+Mlsh/lzsIP0cD2P/vMDOPyTEj13KoR+LCBWie2x42wH9
0rSevDl3UT2t+XwxnVHeN2ih3jX2YJ3Wqc9PRe7axJapNuH9INbydxtMxcdOutP7yjXHO0LK0qfJ
J8webVLencqqX+9xVIUfSd0q76wkFu8D1NFulJPmGqEWD+5NxK+fSyH7zyGxdjcobowDOEl8K3rZ
spsAuh2AiwwX0DRwb13l1R/bcaqbg9bgn51FGd8SO2sewqYF8WBo/Igy20Zm3zs3k9/Yj7aTGMdp
Ves/RR83r4mXkc2zxMaxUUUPKBVbrxYJard+sxS3TiaWd6ttjI9eMrQ3VqrUJZ1ybEzxuqAnz3ih
S9Y37nuSioP5RM5xzbdY8clgdr1vW3fhrRBB75+Dsoj/g9L4JfQa+Wqxvd2gUwyjgqAHTF6CepgV
5ieXAnwy5iJ4JxLfv3XWrCGebOAEgIXFp4BmHuv8hM/22ARN/U1WucginNHNA0uTMSFsJ54Tu8bc
RSgZ/UVhPSQEzHybM9e46+we9xfjzkVQTp6bJsNCSp7WCxkza9SsKv+W1kVWHia7Rj0vphqkJLYw
NRMFh0pYOfhQp7J+paBWTmTzRx6x8RRgS1jyosU2uj8Ww5dngWf1UshWUjPStXgmonB8nthsYOOH
+kYScxUFwNAfPcSWNi/qaKyiOBiZSpmQwc9ndS6TavjT8sf6KaVZOxkTrPMxVrw9KkqA5k74P1+m
nDzAWTZf0tUeLyTa/6UG58UD99dvepnPhvSLwxra3ZnBpzUu1tgV4QNYXXXLiZXOgfaofaKjSMMz
1Gas0ALYbMmpAb6Dda2lvNZoYCPIKvMbCor5MIWCVwS4rfGnkfDyCmSamVtHHFX5t7fW4jZPDfe+
WZfuK7Y1465gpOHhcufHxHWmO5kNOYoPT1RHki26Pyf2jntrEd5nYuq654oX9LjHOi3Gs7dM3ott
DVV/jGOjv/NH4ZPWT0P8D6++SBc0ke1I0oZNkNgpFUP22M2OJNQmHtpjWwi/jkIf13HwB6R9cLCH
fiEckCt8J1VlH81mQpq+esOHhhC3k7TzNDuDYpgfEpgA3nQVVDEn1FBLEPN+wI5vPFtkwP3TOAvl
J8ycB7woeRZx4c27iTy0U+DI6hP2TFC2eQ2+xU6TfC6QNAxRoyUqEVeh/WiFuTjns0Uqexb35U3S
BNlX15PDrW8s6as7oB9w49EnEYW3nUhvtctojnn5RjRguT0T8NfdZTbveCZkCxTMLeJjnrXZ30Gb
dgca3+C5B0kjHs5NbstgnRnohxFjjZ3cV6tq77tseeLA/8oHr/qrW60a8pOUwKZwqN2dM56Q52Z8
Co7urnDH8AnTkntaMtGfnW5KqkhMWXvMhSEe3Hb2Ir81v5Kt497PxYwHsHTGmym0tOSdZ/eY9W35
x+raKdnfohnQ3ozhbeuq/pNHBhFJakWRPRm8C+nAJtx8qPtZ3XqhsV5MqtnNtCzxrct350dfucaH
NFCKcD9wz/LMS5ay+qZIgjT/Z1PXgxJqRfGaBSRFFKulM0OytdNA3GYZa1cateyQkTBOF2mHSYZf
ax8Xt2SJDfXYY0d2VdswaX3Sh13JXlBQmOc22DMYixTgEF8eAamnkfS/MjzMZTKt2YuPcZY+Nucd
EPyI2DKtaK70ULrxeSt5MbKOzFZinIoAEeDn5mxMui+xCKtZfQdaeLUS73yqMNzkl7AWtfvXjr1C
XRAFehiq/+LsvHbjSLI0/CqDvs/Z9AaYnouy9JSKFKXWTUKGSu99Pv1+UZGaaVYJ5GqBvlGLYrqI
E8f8BlXbzdT1/XwLuiaoL2qf8QbqVEE5YRFjDHZ+F2dd23erwLPaeNsh5hdulaY26o2i5DQ0FD+f
3GcVyVX/Csl6LYPElJDiKfgbDLuK8Xv+3hwqP/7UWkHRlsiXNEV0QMzT1zQas0mqq9cMfUfL3iN/
EFTRqkNSFrHjAQH9aduCcHSRvKkwYUL4IYCn5Q8xB9cK8Q1Bh2pGJm7LhDP2Uih6nUams5EdI++o
hFbNczl5IF6irH1GcDjB2K6FkGB9/ylCp5ducjswXw6uJtVmi7lOgR9U4jNkp++WzPYXEjIn2nbx
0Cl7cC1J/m5R5c9mRuMFnyNgNiinJB4AOJcaJOQ1OmGvNT+oWQXMRp0GUS6MViZaMfAu4B7fydQ4
UhXRRlvGC6D6oYOuYKlVzftFQm5hdHm+mdr21jc4/Oo7cim65cNCZpKDE6PT5yxez67STMEeha+S
a8rBojIjIXgp+4NiCIJ+1XFWsmCFgSEJ/CrrXEDEwI4LaqkcSYTy/y3jmIV4VQy60CTHtUoMhCXy
XNYRCx1CEl17SQSrMCmjxUYVJFrX6gBbBakgyYFZZkjybhLD5dvmEri8dA+XyU6vickZhFE/T0Xw
cUftMnR6q1cumfUZEeo3Dq+m2FN9T7V+7/dFXfxoPdvB2ZG6GCraqmcCrJZXc4AFR7/WIYKWsFjQ
oWeTS8+KHKn2BoRhKPlSbsFYHJqjaorRhe+AQKFp7WsYka1qvQeRgeI5zkPTfmGNFJUr2JhVONDu
XUagsl9nqy4vfaEQtnoWMpIPdKqDdutGSDg+I+AeFIwsfTe3HFaPLdqLR+SsQCKE7iXFOlKjqwLH
EGQJ5mFGeGWvFXU3IbQvO62VqY8joA9H6XVk8Y7d414yfXtdn0FDK0VC+3aVG+RE8PUkAWZpIhty
DpMXpZhB/cTwys/0sy3LsJoGaobrFCOpPvTEB/VJWFLrJk7Mkv7f0nV0jij1hUpLZSHahvYYamO8
zwb41uQ+flJPZIPIQnIrpg7fC1oe7l5cnNkmAzC4pWI5VgL98HWSCobdzMCkgFE0hEEmBGcq8wNS
gEI3sgU/o2KTGVM5wDazRrdDuPFIuFvm0Avpz676nhplNL1QLVcpumrj04guWPN1oXEW+HARXSSy
oqErFXEXQ1Ph77XgEbxo8qYNyo/T+DkmLKiPKgq+JdHZC+NsB7W07z9TtUVfcqEyPDAv97TkoIZp
h+TwaNT06Zu6is0nXNzi9CayEXff1dRj9nsZS1qbyT4DtWNfvQ0yOAeKBWk0XDG//U8nXW66Zcy4
EDF6SYvL+ki8UT1tCRQL0XmhLPdHlDgOTSzJvOzEvB4ZBzhtgCUyG1EeiTuu2bXW58EZNe9bEZJK
f02sVhT6tYSuLZv2SI6QXaDGVwWqA8q9GAS1JST1QzYVfval1JEo61Y01MYJt1ITQeVoLePRIkUk
MTZIGIvbgcDez7hZuiBifCc3S+rBo65T6Q2APuQrqvH1y0Sz3p181gLl4/hJTka1pgh4U6bUhp+P
MpFyfiBP7ASgFYErH01x2uvukSFv0FDhfw6+KqZGEs8kY/RyzE8OA5vSSybjubHAbWTQvHEGeL9w
l2EGCZyLHAPpkyMMBVKUWfVxEwCuth5lKEOYWDDrlmm4nDs3soGiIo8IvGCQuP2sbcQPdsdRh49p
D6guSban7yVuURsnsVPLHnW57n4R36kzCDM4F0p8J40fwRmUy4S2mTh+iqoUDy+liHE8EMfPwtko
cn0sGIb0ejbieCIDsQ1cgN0ORVjAfsDbC2ZM1CPFEW48UM18LrleWjl2i6NBgBcMzLfmJ7uf0LK/
HCfGXaiBJjSAsaHLiyS2ne0y9arGGLLFZW+nIhLQGhQ5j5ygTqUneEQ5YAAsVLW0iIj0C29A6jD+
1FmdfDHX7WHRcpANEmghv9tCglo+tiT2FYjd83urGidSRiSDL47nSDIqnMI5DgSOE0jUEzoiXo7I
H36tlMG+R/J7lHaoj2IO5pz0XX3hR3ljdFtEY4o0vaL96Vb1Xmtwu2Ie7dnjiGKlnbH496h3JSqs
VYduTn+VZKFgHfZIiwKx70AkICe0SowUFu/FMhNb4MGGWYt5DrhokZVC0TfCcp3madl+a1Kt6PQH
ozYzM9pYaj85w07TJiEBpiINyZuRM/Si9wQX5CeGjgReTM8xzQW6dzxylLQRB61UbQgoQAUl8oiz
XjiNpMTit6JGKF4g4ggiAyiP0zAfGCLvSpVqmfLwYkpmQ582BJ+WQaIU7euLOXdgjCHcUZQX4DkQ
k7sqUPbl1uYjJM5s1VlwnTMGz+mmVygpN8AO8GC6wxOD0nQTGOHoJJvFF2HhcnkuuhX6hxito9QD
dnvcycsylhs6D/vW8G+DSBlnMEG4PxTV50YDS7UtMIPppw3jc5OnWDIdQ37/KFMco/2K48lxeR3h
akFQFCztxANqlG1tp4l4V6pZi6i7cJgXIQDJiYskAgJ5FAHIWl5gUscCKmcNqQAIFV0tdmjsh2Kw
Fo2OOGbL+qgC2jA94RXWSoxUDkqUTQw+EA0klkt4FNntTG+Abr3AJJY59AITYvApBu4LY29Rf1gE
35QG3VHoSlLrdMHllDAH+MyGqVK6vE8SJKuMu4KkD3O8PIYZASmYI5h/FxTZjNxWEqcdLfoRTwKR
GgiDbHDwACZ5RbmNIBMGJi3ZEWptI1RjZT0ngLroOINKzLCZOqbRC7QQkiduQpe9YkROs/mpaIcZ
Ft9Fk/ZSFUkLNyZpMvJE7D2IV9a1Au2CO1hI01aTiWH1hBcQc8h4MhMde9DEOuoNyNSWJkzNB5SI
zKKeGhbZsmbqUheDeMA8Qu6m9WvU8/eu5zNj2EfQs47k8Jx0jKxMbBsJInNTVWyy5b0i/S12CuAC
sQ1HvxW7Vx0IJ9bKa5DxUDdjXQ5ZtpZnG610gbWYaEYOW8dQ57wAtmjE6KIua2apPBD7PxYgDSqQ
l0vYj6Qc5gKyxFdCEG2XMmlCxrfRNjnkYuYfsiINikbg09o4bHln8pBf9jR+cPLZqYnjXSUF9ybN
wX6GM85H9WUnVQGWgK1IvjkPL/QDFvewTIIQFrSOI+EN7mSIqLvMWM0JW58a2iy/EQGQo3QkHFtx
5CwhGySSiO2dioYbEE4JTUhjZE2sjdSVBNBglntAV8agXZbH7HtBByqlgXPSdRhpRL5th2IZDyNf
tFxyHghF3pH8X7qEBUnNF13y7X9+TYmcDOpGfHzVHOk3rQCAk0LNDcoR0O87QURFhJ6jeqKL1yn2
apo9kJsrFR23vFwFTLZo49NyUhEdkzBa+R2M1hUfXWKbajcQHF6Jrg5kyr0c5B61E5fypATD8ifa
B+ITLRgtwLPigNYaK3SxXMAD20LaQm6KqoE5FeMPLCXCJYIDIR+xXHNJig8l/LdGTZ0MCtymwvV+
oujkLbflSAtgAVxKGGGIMA6faMF6SQgPLgdiqctzwJYNDXqUR0+veRaApcaoxLtXp1HIRYiXKQAr
kh0OjlCEWg+aA+870AtRiS0mdr3miD4Kel9CW2OuEVVAXpX2BhLCfTeKjzERovllBR1sfssiRr5o
SSxF72yBluAmpNZ+J9n2HUYj/E5Rrol7OeYwS7bYewNgvY0Q9QUY1/pD0AC5kSBr6i9wLRjKiODf
HjM22bQJDJcO5tqiO+hgu8Bxw7ehGBX6A4u8QaawbFFVOOpyDqMukDwy2V2Obrw5yTJNyd+qQvyj
SMMksBQsOdl9RVeDBWMfWyMSh7iIqMgsqjmigzOZ6QdmKaCQsYwUSdz1Jb1R0htfudKkjRfCd9Q/
CzJmORcYtR27ZXKtL+9OCY1RxLZju2XZcTLXHIGE8ByLXMOCBgHxIaCrMn3y4VZXX4GZU/I7BDLx
eWW7S43KY5tM6oAsPgBqmfQ5CV7SKHOD4GjYJXdI1ajzsK7U0dPIekQ5U8S1AKzJVJuZgoDdLMw3
Y3bLSchyqUgQAf0VpymUbpHGasDbxckk+3OWEYucOPE1lrnEKHKQT0LXOcCT6WnR2VhkHcCFivgu
SwFXRvnlVcOjEMd5SBeLr+7YRzC/M/qhPt66tBNtc21LB0tNJ5e3NotIzoKIXCCiSwDC6kDkJbL/
JQsgZQQ4cIvHjWbRI+6MoXCXQyRrdMFE/qlK8XezBUBrx00nQYngjMQraowEAiZ28h2w1XyLjLig
cP/k6UogEbWYyPWXAl+wovmRnzgfiUdkm1IlyuWwtDCxc5yQkcImAA5rdsS8LS2XMohbR8eaYFR3
oa2I83DB78mFLMWkMXJreXkIMIlvItmA5IkWkHlDaZpFZKmGcd3cZoTvAg5Kn033aYWyu7uSiNW5
rgV4dqH7LKej9INZDBIW0baookzRtuAY57q/0sqMXGUH263uccRRAgH7XOKeMxQCY7goVVVSouwn
rvWYowXwLdnlSz+loKgTaWXdi626lEqGPYi0oZBGMEuwWuSsFq5DLjO3wnKFIlgIuIWESldboX+B
L5fhNhyk8MvKPZAFcUdohQl6gWa5YTuipOIn9JiWu228CC72/QKXZbIsHiiwp1Gt92j7u9q0oUcn
dLVToETsS4nqtUXxz+uTAlvYbrHq6I3xqQ1U+3gqNrHw3JDgetkWWNCachM5Ma1/itLKFGlGrdpC
4AeOvfitTpYz3tksMOeqIpRxUDdHks3CW6NfOvO41lyLpbAkJr2UipllJgUIV4CIhTyI+J2q2/EP
GpnWLPQLBedQh4lYG6NZvJa0EH9GeUu/GKzWIXVcaskFUy7zA+1Y4ncdcMJgG1aa2SYPhDuRmKO5
LF64q5rik2oTgxGaoZiIuj4oDweW7BLHwxRyDj/YQt2jKyGlCxZut2mKJLpMcKErVsDdRHBfYOjL
pnACdPy+evR02X0L4NmXwhqNhIbWeTg57MzEaOiXLw0IqaK14Mu9sQm6bea2cP6YOx1T0aXlvKDu
BTmXTxjKrM+VyjWDbB7mEnS5KAgMsBdMdV0MeTP1T0pIk5eK0s01bbyaNWxdMJuws7Sbb0tg/6N1
B10M6TnRK539Mg2fx1olh9o5Sa7HhzYBXWPvQ93uLReKkxZ02Aw5SCqvLLrIXbeO7XaqngO9LPpx
A4NxTu4otbV0Y5dYDHcfG+RKTHejQ3hBTtaaZ8PZlj7Nof3cO6W9Ed0o7baJkfW67itAUeHeS6nE
301h3xmX+ZQX6VPOMvphKYx1n1K78/odWrszc804m2za8UCnroqh6j6pZVUXd7Di/Gzv99wfKCoD
RHfBvkPxy9oigmDu6fmF3buxZm3tMt2f1H1ZqMN8raMKs0mKWAdRX+gOeUFA+AVuYnrFtGpheXcb
dRjBfxlNOFzVVm8XdGqo77SbfM7zAYJXGds7xG081H/0eSiu3Sid1XpnNl7bMixx8T+LdmY6KHgx
RYXS3SpOMqbTGmwuiP5VxAhwVFZW7g+Jgc+ZmhsO01oFjcB1N9fDBNTJjZseUzKAZea4LiKcfuJV
hK8U+O2Q+GBvVLaBAaHeVK0bH5ixXqyUMOkd7wqlqKi1V0avqeO86ZlZDfdpYWf1l8LKQbV4fWgN
17BIu2KHkK+e40SXqhcRchQoO8N2uS+x0i0vKzqe5q2XNoVybRXoYH5zCcrlt1K17ZgeqAJH/XM2
g3dKtmE39ma/aoCZl3SGUTv4aqcDMycEyD9CQ2F8tbIWya0jupklIiD1Fgd32NJrtOdoNXSOUXy2
ZtIrQXEb6bYtpjmycehoQaDcgIzR7XeAZHgzq9r0psLAnyJhFoXUP0OoaMos8yIQaqfTKoNNinqD
DMsKIBbi6gL+XhJlmeJLFkIEdaP/6NJppziQKVIRCErgXsrP6NJaSeqySzT1CHs9uZVwYvlLYjm/
JPr1HM7yt2ja7PBMeCox1VlmGXFmDC47jH3gTxsJUl4OHNnylCNSH+WnY2xGX4vF6oCkV9ddQSsb
/D/SJxjF6PNsffD7qlbd+9Gcc8XdJq3G8CKKHFEizRpIv+cGl6gCGPExEf1PzSaSo1GriG4N3Ivi
sS1dP/8atYntfx9wiIcgqfZq9r5NWxNdiUZwG+XTTkvf6fi/JLo+moaIDrOVqq3OMKhJnxxOsmlb
0F3sXGQelWA0NsjSiv5EIjVyomNWEvCQOhgOvKmj/Mbq4tLdT2MLNNNXdRz37iutC1J4vkyjccPp
LMqJBntibWhIKWDf3ttG7s+fOhIPPMlsgJT9GmYY/YKt0SYwQ77oqR5ryr5o0gh1uIPT8Oud6gKo
j+b112HdEf4UuJRTWHiIYUdRgGnluip71KnHTLXKbVdXdbUCNKUrUNmwI70rR68C/DQNQUwKYLnJ
DuGreme1Q5juvXYCnoQegOMBXA/1h0RVKvWugWG16a1qZGSUpn8lkFefEO9OLgrd7b5x+LTlxpnV
aet7lg93Zwq5aOqE7TVNRBTv674cnvuIHtwFdV1xCOli3mVxb1y5cd9vu8FjI7b0l83vJe7F+abB
mLLeh306fqtNIGUrd9aHaD00Xfm1Ckr0WSYwQBtY3c5DDVn5Gh1U8wYRDyNfzUMcTjvdyqo72xrj
r8DFq3uiW8pXjs0QAcXM+BCWtXLh+MR5GKNTf6Gn2gAXmyJb/QwsmqiWlkX7kVw+uGr4+Gm98ovO
cDYBWM9Lne73d5gX4xVirCGoj9qDr8IIgpeXlI3+lRFEYt3qlHk54t9DrK1DBtrVqq4jOuSa3dv7
wCHTW0WMtexLy5qjBJKLG8SAwfTm65xnIJAC3TZQS2N+B44iRYRk0iFi6bFa3WKdwLQ4d1I92cQU
SMztquLSySJjE2vGcBP7gfbJVQvnM6pD0bcoTLorkI/G/TBqrDLP9ndeqavgl1LzSh+axF239O3H
la769RVSG8VfnG2cDD2kpb8Uzcx3YcC+o9T70IG8/+RTD+FGPcTvctXLdq3eenvLUsedger+Zz3T
wyc/suy15SXRblBm/xDGYHecQU+ZxHb6uEbSpbrLTYOQGilhvwFhl1V7I3Oi72OhaA+N24TjNunV
+hvY19HZgGykAWiGSl+uyiQgsvioWK6rGh4k3ktoZ6VKUt657Vg3W7XTs2zTe7kB0FSN+j008eFL
7FGLbfKgUde66fcAQ0bzOkaY+dbijL+egw7cYDhZD1pepbsu9jGOR6n/Erm7AExkOwz+JdjNLtgS
l4oHt5uCG8ReG3dbksG9H4Jo+K6XbUD11rtM5I24bOoND2I8GML19J06YkvEJDp21XWJIvItl4W0
Gvjzrurb7FuqIDH9GLs9jt/8i50r5gM/Is7ML7mi5v6FqvR298GbADNZt+4wOjAKKb9nz360XL7Q
mKzFj0TBHgF1AL0A1hmgQnJSulDv6NcUvmZs54lWMDzLNhvv4UMl7a0+QCG5BJ5Tapf00RLt6zTh
QxCvXW9wracAnkXcrRyN3UZs0WkZt5sR++zsXlX1DLUkEKNI9mebZFJsbzagAGKhF99HGAKAJGqp
aMgHrxD/4XxP62nYZLnfObejGqtMogtVVW+GKWC0m/fwWPf6FM3vCqRHnJWaWM27KPbguGNjoIde
DUARSNoqVhmwX0zQ6Qq8JJgVbfA6aSHMdEGlXrIMUuNd3KXW/Kad4UucMIoqqHQYtBccQCpYXp+o
oyBCMmkWSK4L40hZXArElhNusQP9nxfu3s2//8WfvxUlfaEgbE/++O/HIuO/f4l/85+fefkv/n0b
fauLBmTCqz+1fy7uvmTPzekPvfjNXH25u82X9suLP2zzNmqn991zPR2ecUVoj3cRPBfiJ/+vf/mP
5+NveZzK5z//+PI9A0MWgYGNvrV/LH91+f3PP/BP4aX+x4RcXGD5W/EEf/6xqqM2asJ/rAvmA18j
VIPkr/3vv33+0rR//qFomvlPkJgoTxw1vaip/vgHwMHjXxneP1WTKa1tOUIpQ5hY50Xdhn/+Yav/
ZMEZwGlRBrHIK/mrpoC7wJ25/zQ0pFpoIeqI2Dnc58/X8E7yNeT347Usf/67eftLVpHpmjbEDjRn
HMdwXEc7GvT8TZRxiM1RDbzJe0SfzxlXEMxaUK82zfT93JYzKQlWGdr+b6/q/3RRJH0szSTkCaWz
U70Zo0ItFtbK/BgoHBgAwW0dGBc3An/LHsZ4ZddT9eG3rwm6HvlJSEw2ZmUn2hgwHz2Q7eP4ONjF
WHfrJK+sg8nYmJl5P8DzV3st67+/ftGXujbi7eIKaNGzcDCz0IxT4U2Xg8AYu2B4jBn/e3DGMB6B
14ELxEU7JgbEw0DRPhpmmsdviJ1oLxXSjpfmm9K/RQfc4yOfhIgg0+GGmDD6xsrQk32TO9bHrA9c
+q1ZOV2MrWfeIWwzz7e9hvLChVl6ZrrTS195rulbMKaHE26t9VAb7N3rb+V8zXmGBjxORZSSSZx7
cmuTWo26GhXNI7IWiKE4fRFnLSWgNwY4YIBY3cdIGdjK6vcvi4qCCVoKQbQz/ZcWHz/GlGn92Cpa
/M0yjSbezMkQf57IP3b52Af/jyuaPCjygcyCzuV9yG+QkeuC8jHoKvcmD/xU2TqFRuZXea3nbYaw
gxfw+lOe8NHEh0c/UKg7Uifw6U9lrBIkCVJXycpHp/fdFDGMMok2WR+3ePFa2Ix+GErLn5B/sJzx
O341fnaI+BDmOujcbv7SOkDu2IxTkaMhN8TO9FFtB924m2v8GZj/J1py08AmTrcFjEvzeuortYUH
WLbxit505FxA7J+d318zfBEd21SM7FTY2S/VdPKspcbCserRqBXjgRpGfyQym8pqyHKgw5GZIJzx
+pt8KeBzfJEWspDY1bqmfq6mQzGAznakFo9wVPHs0TqjyjZMIbWvHVqfN69f7NyezfaIFWBRYLmb
BKgTTTw3wVhZ1Yr0UUNcEZcpbZrVqzlTjOEirqZ02tnjNFV7NQwgofSk4NmTAR4lf66UGZrvG8+u
nT08bnGm5qJuJxQ7OWlevm96WBm5qxU+xiWV/YeCiYS1atgtJbaSqis47Haq9INDEtyG2X2NJuZ4
aXVz6a3JMCY4HD0TqWBdN7GWx5vMSN2P06yz5xjwtd0bMnwvlab4QI44S3B2RksXw9rTkDIz2x8T
HBgfkMAYIHlDhDJXAuBsT6sORCuUHHDY9VOYuj3pPmpn5WWuFpa+ef0zngV8h6DLgsFeGx2ms4Bv
wOlCOH9yHhQ3Dx8AEQUBiIG8zNfTaPb+CrtYHRCFQ2fsjSufcMfEK0B5Dy1FmGMaQedU/MlC2G2i
1xM8FtMkemOOMn6qNE3NrwqjopApGiqCRyQMTUBnrUKlCEtk7ChB/OwHZXs+XuLRWtcPbYURx8od
cqva6GY5KWswuRbsotFySkYT/pgF+wwl6eIH6pCFvR5cPCi2ECQr5yKI9MpYT5qteGsOvt7HHjtp
oKaNDGMPjZOrziO9Q/1Dnzbu9KUiPOVXA32dkHO4acFZ1nqTJru0DObGgwifGfMOqcCm/VhWodL8
hZK4F/1lgj4GfYmKEpYieaUNt3GpOv27blAN3A8aWzEqex2BUmgzpHuA+l+2cWlGDfCPrEXnGkhI
lL1LGgfHFiihVHb3VaUmkCKzoG3vCWF5j492G6f3bdmH5vu2BUSIKgO4wOoiqDO3unCYWSOEEzMX
2AGfB6gBzdeKHzI6OvpqMHrd+DKBxAKkgqxSEWB+q/amt9LNOGuIWW6XBgk1NWiGDd9s9q75Wk16
0UVVFn+GlYYgm4+9ULrq0yTor2qdAeMOt1qTVrNfq0xDVd3LbiJvon9eVV2umTtAYV5Y7M0OZOQK
gbjBLFcZQhF4IeV5iqGFVxXGe1zEqg77zqjSLiN0P/XrCSRI+f713XCehABPN3SDHE93hcvlCWfd
UXCjZCfg+dFlrr33uoRWCjLp4/g+o+ibWKtO3m+ziO7sGkOBpthHTKMNSCPIgHxDXD22rh3fVueP
g+3AUHr9/kQQ+y+lmS3D7bF2wOKRhnj2qX9gFdEhCNreeyjoY7Vf5lyL3E0+93X9rEd+N4LLg524
CZSwBbub0+R/g+F+FmW5AV4QSqgkihg1nkTZLIzUrEwG/wGEbBxt40GhMd+ObQRIwMPQ5PXHPT9j
PLTX8WakfvBEPBCJ2d+S/Qp3prJULfeho4Xc37tplTZ7A4I/JbEaKfq7ukDVizS163zw3XFurTVM
wfILPFnV9I0T/SxUipuhdKXsQKqU6djLmzGYL5AudO5DbZQu2oSpPY8b5rCUyyuGS26wacOp75LV
oGma//jbr8Jg8m+zMC1GgkiFvLz65LSDR79Lf8gUO/DuY8cloUmT3AWy28G5UX4UdZZNOzMZXGWA
ZVt5H4vMq6InhDJqZfvG7bwUghQrEfFL5iTk6ybdzdMv0yGBRtcknx8aXa/bh8oIfGOHeBXevRCB
QHBvZjWsxm3YG7l9X3Vjnm7B9XbBLiNtMK9g7mvhw+s3dXametgWOaxPUZxquAm9fEVGNIJ7xEbp
AWhU3R18e/K7m6aleQjjkShyScfPjoTnh5JtSK7Tbh8Ws/HWJj3fI/gnI0FBEW1CVXBP9shst7M7
WWP/kGv+CAjF7Oa/cFzX7LvesZX8DclK/aw4AX2EXiPhii7PuZxD1Be5S6bVPYxFgKdr3tv2tEFQ
l65l17Y9M88OBsY735/84Bb4XJM+9grMha1TuV3+oR01HbuHdJ6Sq86f0+FiVOg+I+EfBPNVlDk0
5aoiNIpixXhVjd6VTV/hDgqBQn/mPMs1CINg1S48SMrDU4BNtrH2bVudHgBKGW9Zxp/neVgq4kOA
86KhsglP87ypBgyKPF3z0OFdpd5pg2c/czPDpzIKhmRG/wrUz5oeWu9+jkejVLG6HL34qjZTx7nr
2pxRG5LaNf5gzOOrS+wIPWxRp1yd30pwWG4vg7XNlgXf7DEGJ3qZL5djAMKX3qFSkp90/cegNMwO
SrWqP8S+81dvqca7imbZltnhJzorxuXrm+FEi0TsUNuif0DMoiRwGY6/vHxbVppXgip9mEKtA4Vu
RjSei89Ygqb3wUgFNIKYuNBrG1KhVvaXJsOZSxUOGBwKP3yrWjjfFLaD5Ihn6raq0oA/ieQm2CDG
kHXzgL+UWccrN8x7+iajiVHEpsHaq8qQqbLb5Jlke462tlaR9pkwHdX9yJJKARFj8uy1ZFjD5NzX
KV3PVckU2rrtTBb9G8H+/KTlvYG0F20fFSOEk/vFWoGaoE7Kh3iKtedIIClu4Uha2HomIfaFn2ww
ai26A/UYPwd+nrlv9EPOt7VDSGDZOA7aCmfrnEoRztkYpA90O/odRw6OdpVVID6Rls1dk9Egf33B
nH8hxwY8SAAVCjbG6RfCC6fs1b7kgnmvoeQAnfw5DoOyOEQcPs0bicQvHk8gCulvkUsg/noSq22/
shAf95IHxjvlNs6gzzekvbsMA9gLH6bhxe8/ncXa83gyDLxPO3hI2dLOL6f4gXnt/LHL7cR7D/jT
U69Kj3L0+bevhhw35bEIUagBnRzWQw7BP/LG6AEuoXYd22HJ7BLPykZ4IXVvxcRfvEtCv+7RXCU5
PHPJaBuMSRFpjR6ieAidDZAiv72fjRF/Fa3kydd9B3DiDcvPX6TKLsghmsQeKYl6lgEYMC5dy8+8
QxNYmXUZ+Vn+HX6Ca+2YrtbqPaoJ9vABtb7wqepqdVgbwaw4W4BHRXqTeK5V3sWulqn7zuiYmL7+
AX55dwZZgCit+e80XQJC6WF94DgHG9iPzawFMKoJN9syB5g+uTHdV0rWz7umCDVSAtMsjZsJku5w
oedd9a7zsza5KSxSynTn+rryxgI5/2Qu1h0eiseia0EO9TI4Vwlnw1gH7sGnk2psU6RRs8s+K6zg
E9JyXrNn/tN+ff2dnG5wtLap8FFapscmcviTawK3MZTIbsKHTItqYByq3lOvuj3mt/6kJO9+92o8
obBXF7bqxpkIV4EioRIOunuosyLKrhFAKtzPA0qO89bRk4yW3evXO83OLZ3r0UFUVQ3rlrPKDXgU
oNeO65V21T0BFhh2CoHM2ThAynDZNDS/WaUYLRub1y98+inFhXmlmCxzrCGPLv7+bzUKZqa0KmfN
OXAWlR+bJDK760yDVecFmv1V7SqleOOKZ2WRuCQdRZUahOjJ0768JPRsCAdz5Byg9TjRtd27vY34
o+OiJga34K8p6/rqLsPj8Entsszbh2Fq/ZjCjLHf6w9/ekxyJ7owO+DxIRGdvXXLnUK9wabg4Ja9
tpsVb9w1NL0EwkJ7b5aI5sTwGtdIM5j716/8q5egE+w4olnN54lgiOhAhg6ncyi8sd1VrV7fZ1qA
mFNsQ0j0g0t/wvx7xXLYm4iDbdJxHN6oT3/x9FRcomHAomNTnXx6CGzpXAEIOjSx1XzR1Vy/rebk
k4NB3K7KlHuNAMLKS363EkXVDuk2sAycZ8ID4uR4AQAAUxD68AEjBC/YYQ1TjltEe8M+xGFUKW/9
thrLlWbpSv7ba49riwkck1ydRz9t+5JAU2uUhnVgbxlhCsCta57SppkgSU9dUu7Yb6YNuCUwPjOJ
CZt4NbdayZAUSqL51vDgLKahZkcblTDqMSQh6X25E7I08MxOi7WDY/f+NurK5rEuwuCqb8z6++sL
7heXYvpjs96J3M5ZuzLAx6mY6IUfArtudECpAaDqVLBqPodDXlVPr1/uLKyINhRzHxFcaJKedqJi
x5nNss3UwwwhdXq0qmHodu04+xEkggHS3kqhuPPf2M9nUZS5m+i18InYWTSZXr7PiqYVSWI2HUhv
9OA9JBJ9WDNqKIoHJavG25E0fthOg+p3b9QrZ3uJK/O8lC2USzhMiL//WxjNW33KNScbD+D1awQk
QPfO1kXvVGgcJXjTj5tGGSpMirM0zy+S2TKqt5b2L165iCX0WHg4TuWT7ezPZT9EQFYPaDynN1oa
dfdTGqbVxwEsy3yHbWf03CjdGCEzgm45DhVR+Y5WMwI1SRvbzUpIdvwA5BfGmyps3ea9UkEZuK7J
z65fXx2/WIw2hQHimhRU58Wd37XpEOSVerABvWYXXhLn1SowwMVfTo6b2tvfvZxhiCyK62FFePZm
3CpyxOC/O5Dxhdqq0YPUXKGmEKsbbLVB0P325YQdBOgqGl70mU4+BK3iCCHtrj9U9tS3FybcEZQH
zVI1L+qoMpI3XqYIEn8v1LHQwYmTcplw5oi2zculByi4GhXF6g6NlSv2FoNMG0tspMd3rz/W+RIn
ISIBAwCDwhHOFy+vw+Qbm9vJZH01uIbsYQY1yFypeX2TFYH9eUw1I75AYa4ML2grDW8ZoR1Dxulz
muAvVNMCjkhQeXn9us2DAnRRc0DuWzWuE7CB8Ro0r4IEElhQdwP3EN9Sw2vQjpkQbnZ2ThhZBrAh
WDyAkAYlWpt55fVbpLMq9MGmqUZ3rfLy6uNkeXm7Z5bUaDvmnKF+lWPOVZBsm5n1RjfhfPVDDdAI
j4yLDaqskwdBQiaIKx/NA+yirM9WrDvf87IPftSO28dvnPHneYbou4oKVadOZVx3crFutiM70oP2
MDZKNN86oWbR0gm0fLjQah2kd+hixLapvDqP14UWl4wEQvQdr2DhluUbMeo8PnMzsKtNG5tKisuT
JdRhgKBSkDWHuOiSXWBo9SdYSfaWGtbfpENdX6OEp72xHc/jIuJd7EfRyiJAnh4KNBR9G7XD5gAH
321XM8bJJQpOTnCvQJ2+Rabc899467/aksxyaaPSklDJsF4uVTMDMFqEY01SrdTtNgnT3N2bVTHp
b1zoF0sJc00cQZiaHxv7Ly8UTFHZuFrBnpiz8Smimb9G/oxmJyoab1UK59cCxUO6Tp0uWkqnjWE7
KnMza7zygK6ETaeS0yJapYbT5ySsrfXwerT5xdVISylKOB4EtEK84r8dqHFr9Y1la/n/sndmS3Ii
65Z+lX4B2sCZbyGIIUflnKkbTEqpmCcHx4GnP1/sPrttV0qn8tSxbdY3bXVRUllJkREBzj+s9a37
vu3WNCqk3SA+2JYpvQqh/rmfHG6/fTkfaTrFcMDk8cOZvS4W7nSG/ff/8LXWQDRRUEekRDUizmHi
Op9t/H+9FejqLY/tuXkukz6uY1bSDMccQ9c90lkGwYg1O+cg52A670dxsaCYmtkU7A3HbZpPnhgf
0kEdJFnApSk7BY3Pb45yJg88NLSs7lusBbB0HRiiByX6PhtIdCCrmF3limEBwfiqkkJO9gNeEts5
sIB1yjrGuCbz+ZP79DdfARsZnAtoLWn1P5bm+ApMRdZade+Inl4HD2hYAturDHZSq6FhCn9y8/x6
MLD74WnCEMP+zV06eaNZuE5Z3gt01Xu0emmJXYGYIMuCigs402+LTy6z33zrAVpScnFJYkSO9OE0
Ltnp27mRqvu+6Ps9p/DRM9Jqr3zC6FAHD3tIRflnw6TfvE+KH67rczHCHfzh2ibkw9e14033me9L
yInNkEC/sw5IU6HMzUt1axiyNs7q8vxIavNyARO6jup5eUvHbb601WJfzx7CZlDDQywL4pP+/lfB
F89ZycD4LCr58Ll0vWUz1Jqn+3CCrYGMIUTVvIkL7fUaY8LmfTLe+ceM4c/FBNKmf/QI9nmm/7Fo
chihksylx/tUt9i1yuHIowPQcpfP3p2rRRXJrBIQSaCS7XpnyA65EtVXN5hc/9BtlXxu0rLPI8+s
bRjXZr9doOgsil1YpGvCn1/xQ1TOi5+D2InBC5fXIPSqL0KbYRYZ6bz+7aICEqiDBI0dL53Px/ME
029Lx8G4W0nlBAdb4o1Ejl7hllu0Ydz/3dOZzRANLyNbG431R/ELSp9pxVXV3vOTMAvrwbdwWi5A
DNjmmuYnzdWvJwNtDZ0rpQxl3y9xhWgrmoV0m5ZmMq9QvWVVd5Wb/EOMUjXnf/scYgVLycSMMYAL
/1G5Sn5KSCAnMr28mVNGMGnYKsUUADZDlI2tVX6mE/ilWiCfnaSBgM4RRRr7rj8/6hr0DgAKTOOu
HsUS7hDT+go9UUV5+9ff2i8HAS/EsJYh4/n4sT42qUuInB9Gq3E3b9P6Bc1/TaOQlbdN0zss4wP9
WfX52xfEcswpy232yy45K4nRcaSX3hWdr614nkY9JelWFEVicLyuMTGokN//+l3+crUwtLVA9bJS
RmnyS5FpucBuQJIadyV3yT6Y0u3BdZTxY+Op5X9ybv1ynvNafGVOyH4U1fHHr27L8SW4bW3chasI
h93WD4N1XAPlpQnYOkyHipqvPaBgwO3412/zN5/tWeODAI6fAfXghyOTeMwJW9GY3qEQUACxh3QP
nK6+kH2Wn2ZLf+aBOP99fzoxEezwuKSnZW3CXEf8+Sq1TYn0IQBX6w8wPJIGv4fcZWROVYfGN/yH
Bvq1G202EMS7jiiUv/2tEutIyYJ8yGLg+bEe7Gc2EWpLw7uS0CsfsL2h68gz5nnP2miov//1h/vr
NUT1zvrSRZN5LuE/fLhQVnGiZGZ4l1NhW3tipgQYJbNZHiZIU/VnT+jzZ/fhs0X+wK3Popyb8+Nn
6wH8DUlk9+8G68xxL2pcxRFc4rRMStMevXcwqr5IChRqwLRBcrbilC7d2MIpZl646zNhENAgUdN8
Uir+5oM4t2u0j8zUwl+KfgkIwC+6wGPbKJdkJRv34LtZfqh95Sd/+zOnXRIeZ6Hzm05VKCMr1mr1
71iDVGa8MlTAVF3CJtJ7pvQF0sO//4KU4EwUkBj8eknZlgZQBAjkDviLlUVEupN8EfrrfIH8JXz6
6xf79XYlJZplQ8A6lYnNx+mJk5rrWbHu3TWOUAewU2FcUFcdGz3ZxzXzzE++uF9PJl6PFSatIVt4
lht/vl2tlmCTYm68O9IdjRhQmHW0hFn+yHurA8s3hbHMu+Z/8CZZpVJl8uj8jdEEeyK7WuCUutLW
fJOtTfVd2kb3RN65cRO0i+99soj/3dtE1MiQmXEC45QPp9Kk567ia3TvmvxMmONeMarrBZzXGjMj
lf6ta+aOGZXGBM7/73+jNCpoeRhyO+yu//wJt7IdKqvo3TsrQx8Mf0wX69FCD13szH7Zrrq819Xf
rYRYFnh0bQz6aN78j6EwNtg014HLdleT1prMpJTuOb6Wm24r7P/BBcSr8OBGJQcS9cMRWBPCsNXS
de/coCgOsKhZfksDsaByrHZntJpNLPTZ/V9/qO6vJyHDRYpYhxvz16j62jt7aFzp3knTLR4gLq8E
axGFnifgeD5LKP7dPUk7RuGFQQaBz4dxVAt3YZ28yr1T5IDtfUKA9tviLi/91KYxbMvP3hxf1C9v
jzd2PuBZwrAg+dj/4a3cmEhO7h0W7NoD4KjHVwaFkyBliiS2BCCPkV+6WTkON+NktMVdlvrVuqOw
c898LZOPPjD9Ru/LlsjdhLiOKn+xSsQhx6YaguyuGCsTi2uZlWrvITpWUVf0YR+50mTLKjKdovwu
YcZvR2NSYgIuB/w4gkkNbTII8rCmKBu5lQopvfKmKFhFJyRRBW5Cl9SKw+ormb9Wm5BOpAR66zwe
QWGQQ5GmgQwO2UoAQwPoXiFOIC7OWcSd8JfZ3dlb68h9AxHA/dFam9EuqL+DtDoptoFi740E8v3w
h3p+tDNv8Igr8lVuv7A2w3O/cwJaw+/NAAA5SNLc8bcN8iXadWTjLVsR1Fa6IIO41kxNSo2yJSKh
JHVurckwlRVbDUEij6YEXNue3brePdOOeo6U2bf9gWecTctfnoU8JEA8An0f8eMoBPWmattbfLDW
fjS86coLRvXGo3JNRCG3yCo2jrva1n9I6YZfWo1eIIL72sMYI2KbB8o0TeKpmEwwAIg5hgdJQsHP
Xi6uiPVAds59tjQBviwvbcWxrGSlIkzTnd6TiLkaR+lW5y7LO22qbYrXhppneTFntU3PKOSbr+Qo
TCF5UD5+956oECdicG1l3Kz9mMdAQJd9WUrrK8zWwo2lUzRFBETXKCKgK+7A/Lewr5FIWsV901gI
TgvhfxFNuBxnT0tqWqH7novUTofdtDnFXdkymiGINoPxAHR9PvZolgOCh4zlKGfij64l0LOFDM2O
NV8je7VGhD/11lltXFK4uA25CytteQUHsu2wRGRq7pKQFw74tVencVM37aln2VbcDv6w2bfKKbgv
rczPrwqLxAEQxFtaRsCtCRH2x+5Sw6B4VBZpH8cuxez8Y0bSW3x3VD9PF6IL3SbREgZ3ZGYshy9H
labuBetujFaGP7vxMpZb/ehzERNo4pTb2kYLfOf+aiWkCxpP18CSAs2pqqtJuV06R5Av5+LYURSm
e92UlozaDAR4MhTdNF6V6HP47kT5uNDavYSVk9lE0Gx1z8MYJmcFrlvHBaSLAUtCK3Ui83Yhw0dB
XCAnwVUwAvMeF8NZYOfEBbnRDXtpmXq7oMvTB3DTVazh8GRRvVn3nOMKz3VWKSsSc9m8j5smxGla
lnlLSi9Ib/zVqkGlzM0YZWYwY/gHGLREE/QpEnuybksjwIP5CwmY3SOm86a4YnW1DXugptjK4diq
bbdkc2kd0sFr1rtFMueKZTbM3R3yKZ7B3uBfsS532jgQJWfL0pXpgy6Z85PVEWJVT/teEN1lr+ll
PViyTTzpWYcmz9V4INgiNJLKgZ0dV0VqvjiTM7R7/oq13RthmqaJ4NAbYm+Y9OX5vESTPfTNVY2f
AVLBzL/35Zx5pzlUbhlVZDvs53me7kYzLNpLMh4NUq/Fpkpqg75Vx9AtLvEhLqe0KXSaeOuafa2n
Bjy5P4dBd9cqfvLjMGTywV/G/mc/kil0Rx/UpDs1moiW7X7T9Q6KkIOMX3pb/2XT2cy1n4lsvLcI
YwVCAfeg2eEaa8fYr5QnjuHI1uNnWDc9OBFvIarbJM6Nwt7fDJJlO091T4sWbKkiOaUzIM08s2a8
NBAnRIScJdcH0yMumUwhmgQzLhheoo5maYunGMt5EBwFiOs6Ke1lWsWBoNdt+ZGixWjipuyKGvyB
VnqvCVkOCKi2UrHDA9D++OuH+a/P1/OmhwwyhFRIiD+2Na2p2Q7ozLkLetFfyRAvI6jI1txnro2l
aenaT8ojlJAfHrAU8rgtUC0S24h/8ePuFVNQk4H5K78Qb9AnQ711d/2WLX0sNiNNT6ny/vBplq57
xPTmadZL/S03JyJF3Crrb1ridnf8zfIJ70FLjshSBPu8Co3hwRbMZ9bAyg95SffCIzTlhM9t9Uao
rHjMswC5ZO00141oGR6TjhR+HQq2iYiHrB9o1/orrVaHkMEpVbE7Fx0kVxJnwH3albczUmt7AV7o
Haz0HHyT1VW/G6d+vLDI1sIDuNARsk7Y/ggnw9tN3SR47pZz+FVb+MmhMMHuOs0udkkkY7N923fl
9sXY1PzkTLkdMM/XmXFsHCaqiacs/eT3MtzicWDVE6+Aq2iA2HtyiU7WcKwWGxZUNaTF44IQc+d3
sr7CVSvDLM6lGCIClUyoPf1coK8XdkAeezZYO8/E6gfAwRNl4ki/vjBGCtNlXM0+6RGefKsMszcO
qP43eZgNMP5R65jbduoIU7oIF8bYuB6xWESCMN+bGhN/fU5WGuyo0AFSR6FM50r6nWNFePq+Z8oI
Byx1SFiOQKyoSKS1nEbTLzCZ2aIECV6T10GF7h58ua63c97KL1ko5RekHOYVT9Hykp7bbSKG0vS1
i8MhEG8EdiNvz/0ncCg/w8wYrfMk2L3siITYz8yCwlgAENx1Q+GRnhKEN/0W2sTai354RCDiR5je
pi898KMTJYsU1wD926/G5nZ3I63EvdV6Y1K1besTt9coB8PC6saN2ubsGtYxDKSeLzYODNXNe0jZ
5jfkitj1GbLcz0trHegPsmhL5/CsTVReAqTFunetvD94ehtPNfEu8KFq+CdRSMbFFC+eDH5UevwG
vt58MvT4VOWbup4c9ncmT8MfVj6aHEGlPNSpJ/bgS/L73FXwiPRk6KvFresmFrrutohdc/raT+eQ
IDNo8d7xakZiLHnrxFBA2uusH9N3HItBAqdcX696WQnSVOq2NofvntbZcbDTNIwaiC5rRIG+iAtQ
nUM0EXPDdYUuZDguPqC0kLKW0UbthnvTIFOUhLswUp42IDhn1nh0QAs+TzSdJ+FNoGjttZ1OBITA
CUlxFSa0jtzIIuuDZOshlsX96PGMTg3xXLIYgEnY4vhwrKxOFsJ/QJDDGAVHVeQP4zx2d2JY5lNn
Zm4CiUnXMdy2zbqe3E4eVLh43Cmtui2G0o9qc70dq1lcME2AYt0ORRblGLn2lt3IveeSebjkXbtL
rU6Twx7WB6RM2zWs3ZVXJRPMrzunIZfFsZ4MJB0RNpQzFWIgDcqGGviUeupaWFawb8KufWuAB5lU
My5PUY1/GGZbkLWnGetovjOgpV1ovhQjZnLo7gnOGm90QKItHNxweICfsP0wm9F+WRsnjfp8lump
JCbo5JYgzON0K5/Gqr4kiq58sdtanAKiDr+4XXtjWAOhl/aS5x6+1sZ9DUvbubJ8rAWa7BEmViIL
3jn707dsWO3LHqfEZelTb24EEiH/Yup2gMnuPhRb0Dx6dTF9LVN9s5iBvhJaV5eeytdHVOAFXF5n
RNEheptLBYfH0zS3hkhEB2S/XNazmAwV45XtaA0sk455PxZUUqLT1Q5MWnC31h6YR2d2v2UDAQXx
2qqNgKkOLB5RGVQ1ysyN5zwdVx8Uho2iWBjjK97wcEfyHC6bcXRZgKZuFcvOGg/z6MzBHp92oUmW
Ey7frd7ep7T19+Q/DldN2BhjhBe0Fbu+sEp9WaWrT45Xte0L1/DvncF1qcqDQe2VWNZ7Lw+MuNn4
0SY1UV4tOdFvde2HSyKLuT15Bf8pqs7rz6gSMnwcs+Vb1mKVAw6akYTdtB2wMRixwaklruCWemIY
r5zVJkLecMIXbRECEXEPAZvuZ1k+lhA/n3w7I87MU1tw7WdD8EPVqXE0subFILGiS7wiJbONgCLj
ZuGL5UdpjAtQjeOUy5d2pBUz6hP5rnmJNjLOnU0UGqojWS2r+n/DXuxzcs2O3AX9m+HMy/3/ATBm
rT3ZsTFYy7W3eJUiRtoB6ch636TDIjOVoPOmj0eEsFiUsanZe7lk/w4wY44ZyL8wCpF3idOQIvDI
iNcQuxkBeL+ncePg/TfBGd0e4T3bN3+tBUfjJv9NcMbOdjVRNbNRT93lSjiaCRzs96BGFIYrtLLS
qKz/DqPRRe5U7QHVFcNFOBO8QT1hUKHemHbdDt8YV/Tkc7pTMLTXTeiOQ71rS8zTkYR75UR9Wg1j
bM1pWdyQQu3Pdjyrril/MG/x4Jp17lzzbPSsXslo7YlYx+Mn/Pk0zk0zXchWrv2O8giHc8RYXdYx
zoI+jVtaQxa/FENS4PA0vfERUGnuR0bfFV9yxarnW41WvmDtKNqBhs0WJANa9kRnjInLTWCP1nZk
IjZaj/1E8sG+Kf3FfPZHLZqjrYUg4pNbbBwiBn2+kUwhQegxsUemPqxNGRjMvTaRXvNAVP1zIKqU
7l06/SNRWuHt0vamuuYQ19Z9V6ClIiJH0lImaK7s/Bq8LJOKFdz+CPItq+HtVMQIeGQphszrYlu7
W3ihuCghOFejI3YWQ4LmSJ7zshyccjTzZzNEG8a8ZyyQXgxhDdthC0uyrjC/dm/hBjwTGyDdmL62
/HHsL12bNOPnJezFELugTAkczWcetgSLusTFktsU7mhggYfzcPP9p7Uii5jD1xpdEgcYmUTuXKo1
T8ox94cy0c5oCGJSR4dFCKXM1iWTlxflpb0Si5SIoXHaM5Vcbjd22XXGD+ETsHI5jIEpb+Cgeerb
pLQOrkqHgL19mZ4917VNCMIOwNqCtzLo9PBmpiOp0OzxM/dLL4XrJyFBKP2JwD53vCKGtCdAlisw
e4RJOHrfK1cP+VUejsFwqSrtNVFNBpt+d+XWZRcoyut2vyhjc167obSfmQL5Rdz0ZgVeFQCHd5AD
zLR7cgmL5YrBkO2cAuioBIJAFDSiyQvatok0iEFeOAwGBzAJaY/PeOsIrBVhJp0LJ+S7Y/2NgsT6
Fmg9vmCNbWRczvy0ibJyHtYRT9fCiZee3OQviPzsngDBYN2+1VlWEwtK+oX/lgbVtjzXQzo8+Zmh
NGofQv3yXeCldXVT1BKLRjTIrSWlLjQc9VqEpvLeNP7o6iJF2qpOaW6H+WHCRU2wcwnqzUn8sCIl
3uWzG/Y2tg3ruVOqyocIbqZiae4ONDKknyLMKHdI7vU7hsgGf5cZlF74Zs2EZX5RqzvOPWmHnUYW
WGTedCxlDlAiErwXO+n9NshPBdFW6iA3O89eyeyUTjJWVrYlBum+xowraPCN7x4OSO+caTTTszi0
6O9tS8RlpMnKcI6YL9T0SMFdrkdQJfX8U0jZF4eaqs/mAvQqKlAJEGZ8EBpB32lLuX2vN9Nvf8qN
DCA70rInZj6ummbgtArJjkZCPY08ZTaCZgz6FsCoB6vHvhIZ0KQHd88YaiteGAsV4cXQAwVNWtNQ
26uHQL58b5zRzY5l00429EnAGA+jsFbrW9pBZSXTdir/EcDKBG8/YI5+5sDnCBCrUzHSKVbZnEgm
LwOwl1StFoOjXnwnEcrMj5kxEzk4K4C3EYqOoL8tlSjeWFxwZXJMpgyb3HWifF76TQmYu4aV7XW+
bOC4ZxXoS4Gxy3rdan/2E4cEhvqL0ZDMzXFvBAAxWV42e9ODCHha4CsWh8zuWjSdkzYngPnZ5O51
mgUMKlu7F8WpoD++ClqgihfjvIC/pAaFqBpx98+8yTPhnbatBCN2lU4Cr1nUz+7c35Lh4KmLdmXx
TjZGEIyUH9vKq9qwkZyTvQat8SVUxWScjIYm4pnF4TQdEXvoMcmDdvopgJtv5DFyVu82mLlNbIcd
+B92R06nn5RPCON1wYFmJLbXePKgM48p3Nk3gv1yrjsZTWavxxhAeF8e1h40YhF1xjrRAclp9E6i
cXNx7IIqaGjupKF3ywzd5Vb1OlwOJYF20zf2uat3s6TM3q5Tsbl+jGNvJAnStguRuGuXq1MNQFPF
Xriuj/PUVs5+4EQg07tmr7YL1kCmO6syHLKhkQqat0JotSVD6GfWFYbFEqBoUAx9+M6NDquSs2ia
biDUz/a+LYB0HJspz943ZmperPJsmK4s8qSWaLVxuT25/uRDjFzYmmSwsXOmKebUOxSvK+v/txZo
jfWMrtqh1VFkNBxKv6OKH1ozz49VsUKuaWY3tY/mJgc/Id9TOx5dMYcUDxPV9F+U8mhbYrql8+99
kCpuR6O5Q+LZC2K+07SJuXqtMZmxTntHZsJ2fl+ydzPoocToHIwMdDXlgL8yQSuyAN+FYCdnCQaP
wLkj0S3DdO31w7PvscRYN2e8KwDjk63XEwY+n0qANtOjKLLyDpq2m9/Doae3ihos3elXrwEfemCR
ka20sUzSDmZjDvNGUkNXMnssii48AA8Zpn3TrQXYmLBMwxtkUSkxUZMmLxbgWF4lI06YZYmMyj6P
cszKQXw9+JziSTHBiPmjI3xorO4Zj4X9K0X36jW7yXA1N9KFxXg582NNEHJdPLSVn7tc+drikf+f
y8X/z578hD0J2POsnvmv4ZNvqura//X4E1rvRLLTv7In//PP/hM+KYBP0iWcFQwW9IOzRvqf8EkH
Bsk/aZPh//YQOmKBYROIn8EL/y9tEt3e36BLfhT2IpJDC86r4xFn5Iql+s87aWBXUApy036bSgva
+DCV23hjynDOEtjxYdfAYwKscxXKIf2aT+4wHhwwff0B1jPuu3wlPuKTDb33jxf9F3XLmYrIexV+
iKf8TMg77/D/Rcqdjj1zcFadL+XgQpq1y6Tgfxc0YZXVkbjstE/eTMQ9ab/DxaRqToKsobncA9Cx
vufjkr6g3/eOFla6B6SU07irmn4ajqlKrb22yvl+G3zzuRdTEE0k38gLtYa5x9A0nZ8YA6ieHDzS
OXeZYH7IrDUbnVhTolwXxNn7sRUa/Rb7g+0sP+m3w12ZjmonSCUD02kYx4lEhPCxKXKS9OTgDu91
6tM1VKxFRl4wBKZMOinA+l6bTNP60irvcFt4OAzkVKevhCvO2VE4BVWpd6bIZ7DGw1uK4sC8LnKt
5UVhr9Nl2muk7mMRltORPXSQxUsOrf8qc5hd7pps9k4DAxAEQLT7UeDWaR5LCtYdqOYiGYk92m/D
ouTN5LrzHPntMj7WVp4fgh4JxUXajulyy3onTDiUi3u4rYwYfWueBXVVMRREuhf50V60x8nfsgSL
2g1ZJrs+v330evK1E3Qr4noKzrhvwyny2BV8jsSVieo9VA4e5W5e+5uanLAg4kk9iohpvfOydMFw
LWd6hXjjfMsYt0uxb8deXJEM0oKMtRx1s/lrTs0gw7qIzLwMCAiwm3SMpR71zTwO7FJ8KgM2tEOd
xSRWlSu593nK6Fo0w6WzBEWfBDa76F5AjY5TZVY7wuMl8C+jCi8rEaKF2QB9VDy9jSD/0SJC4BHr
L/kzPC743EvnpAZGa7R78Jpnzul81Oc4a+0kUqL1e1pp6KKpYuRLXALcvdE5X8vztNrn9VzH/lVU
ovcjRsVMmbQReOMxN4biNqxgW5+lv/NTO8Ce3YWDYkSIALL7XpJ08YojjR1hvhgvDRu/q2B1Uq53
e3TBX0uWBzGQqry5NIRDSxOYI8M0JeUs94ZLphWC+aEGSZJq432Qo6SWk4O0Ipdu4oXVmvc1gEW1
RSG0CmaNvqquRdFZZKmNo/VeiC2jNCYO/DAVpqoSYc8dwufQPuotXJhDOe0Vv+PpF7qz/dQ2XS2Y
xqvmj8736/dqDNQSbawRSOKoMta2FaPdWHeG+cdiVO2FF3B50DQxD0lBtGH5yXz2MQNgaMse0yu/
bP2dmqfh3ghU8eZIeyWasWgXSNajpM9MneW74U5jtsshM7HmYtd9yfrciidpda/MWzARwwcYI4J7
gi9ognATGXm27Sp3TrmvU3k1wNS8TAvDvQhZKz8Eo2nQjzM12MPE7u+xvZxhQr0RXCA+M1+omy4H
S3Z2bOfDMEcZdeX10CIpikM4o5EO8jxuA+k3sWfwbe1Gnuf0jSSrvwwGs5N8GZr2UE+2PP9au0zr
CNpJcmk1zo6NMj2jJEmEbeST69JGVxpEUZRRKFTR5NtBSbiqc59WRv0VSQb5otn4KunwYrvwzCfp
mvVTMaH2XqgPjx7qith3maomXV7DY8w2BDsRAguLRJpworWGjB/13uw3QBonkcZbb5vvWW9M5TUl
eO3ForLGWFdGlQxe6xPtxMEx7TAKFP1JM7cO7kI1GzvH1uYlDk7jHqWe2+/aoEILOmTL+ecl3mIr
iDBi0WrGZeM7V+toeojEhZO9VTWS3ahjJRcLKHpgNsPGZFfkrQ02IvIK3kJtNnNEitl8VNzFN3nn
+vVhnrPylf6XitubG2Qx7FD3egi9PQz89bVJ3eESMofzUyiNjkOx1kFGzc7MmwfnZ0/qwHEtDHWo
19JPsJKodFcY4fzeOwMzKK/On7tUzAP5zVVtxWlDXXiqaiPrYsRfLAw6o7ZBzwOE5yk52uWdxCD0
7s15cNmvAqlxWbyWjcHGyWE5FTf0vVYCd7H5Ia15ipm0Vk9rk4Eh9NC635sEF8YBghRYjGGZReMU
5td26OavgWUYLxzaurwkAaweY1e7LjcONt1LOkjz+zkKlADNMZvzPWnzdqRS73u9kUKDyyW4sbzN
upiMQr3J1mpNKO3ESvN2hmXPB5U3jGdIwttBVTsrSesx83eTn/XNbnXznKs03JAfrJrni8UU/GkY
zklDvmEzo5OmR7R1B8f/FqTI9C5tX6K+INjmCy+aVhEEeKd9dlaCItxp9bGQmJa+tSxD8zCgWLYZ
ZNt9uAfRPh9bPK2xpbXYTaGs/B271jA81Cztr3RPXgKXBdvIYGzRQzUVLdtsb/k7Weh63yxzf1b6
qHmNMVkW7AIrrs14wSdwazFHCngHVPJPMiBQeSdzr2d/mNtAVFnxWBeQw4YHcBD5jV19C0OwW5ZX
VkuSWYN9kVNdsYHKwplSfe6GDEE+CdxRB//2MmefuJvqebtbtyK98hjLlRwDat12ORkLuzVnnOcz
bHyyfFhyu4FG+qZcRJu4YqxOGyjPLIbSqH52uIAUa3gvvUZU0NyPo2TKtjHsJGnaZWRCZi9VW4Gp
GXlCVn1F143hAaxS8xVfEn2/25QNhlY/HxKePfVlibz4gqSZ/jJ0yERhA4Sia1vt4BaC3rBFw9Sd
n8+OscYFrWBkbVZwZXFs3ip36CC22qN93W3T8iBCzK8EaRrLzZxXkk1tpbbb1Rqrox2kBszGUZcP
tERPvmjavWkugtHtOB25SMkz9nTW+LHDAv2Y+r1VRQ13Pk9PX533w2G9a2pffhf2tDoHnufea273
xfq2dP3gxDX58NgKZ7fuj8aYjc8NiQp+tOL8RWKmpAcivexdEwzp4p+2sPff7I19m+U13Vc9BdUb
uzRXHopyXmZ+UJGXmPnCjNu0uTFds5Q7iCRduEPFiIwJDIe87NJBZadaT5ibUCnUcbO4eXpB2BtV
VMHe5npIebmkaM1piRDze/dzyNYVrxxCr52pQcSc8qprUsa6s+8dFwQlDIPEZl4SlY6jrysy47FY
5+pLsLKcLyF+X81hY9l7NknmkkyZMRElqOCjR+5qzO9m1uTXwh+sZs8JVr34CPzXCNMgtFfmoEOd
mK2HAE6R8utlrbpMPbfh09umkSCEc1aHTXloJkvqpiPmc2Indn0/99cMysZLBcKUbJcsXO6qoc9v
yq6x7rZgtKmmVU5JmwVvNZbqYV83s/WIxtC7JJoNrqylJ+RcG4oytte1fesWFmGx/pkDFOUkg8io
RrMHS6VerQdvk8u+HvRUnbop24/zlp02snJ/cNszoccd71dH1H0DT4TZHfl7MZm9eIZlHqossOvE
XzQxsswXeGZIVjb7nkc0lBhVts4+QLfinfysRDpmwrU/pjO76IeiIdmNudG8L0M19Oa3GveWsp9z
w1/KXekESwji0eQ2s+WYP7mrwxVSLhg+Y9/2tjleZxRmKC7z7UC+pKV32yhsglFKIAmRJurMP1lT
8Jo6rfjK3YWKyye7IJZkZLE4Lsys3y9LUXz1VNodmuw/2DuP5bixbF2/yn0BVAAbPuLGHSAtM5Mm
mSRV1AQhShQ8sGE23NOfD5SqWlR1SKcnd9STMhKZCbPd+tdvYhqxtXQvoTcaO3gKwgsQWDpbsEN5
0vDCOQKJWi8E2pCI5kiE0UjPUCafhsqdMfrWscPmGjCGF4LCJOubYtXHM+WNJxpDv17a9hLP4bjK
tl2hEhnglMg/G1NPx21ddPm4hSws6hfRQT1f6QRzZ69ounRn5+EPLA+wMxxr72DDWF2hyR6LZq9l
hZokLmpmAe1UltSJxqTnN4PS0wu6+WQEIkQCih1mPwkaaHH3hfJgLO8aaWCuUCZG+NkwgJ53GP97
9ovZqrraiBEX4qARoywfkFhV0d5I6qEkh42oAN6XNlc0aSx6xdKBQ7ixjUw+Y/Snn7tqSLwv/kgo
6SPO51S1oVt45oMbOVr+BWVy7j7CV1XhUTVFFEIk+J4mFxL/MzfqIjKdoz0piA4bt7WGJSvSQwGJ
w7l5ny2nT7FupHtK2vQZfGr+O1ruDUH4L9jyG7BF6BR8vwJbrj+VoCwvGJL/K+Hj+y99R1k874/F
qsqmNsM+4T3KogsAGCHMhW22wA5Q0v4CXd4iPnBWR5kAb8w3wWb+FfGBlR8fJJwFtHHt/wSDQW35
EwcNOjlnON/AhJDajwiM93iHOVgJZDLToabBhfT6e0pXn2M7AsNsHo2z7UI/W0EWiQiKitiW8c3A
m+QMeNpnu94Rs7nR6K23ezLENf+6oI90MVMCn1eSxpoL6I2QnRCuFJdF9WfX2kP2LFFHWfHSXNLd
LCAeRxE3NcxodtfQpDyy7IOoFmQARiyXOJ7ifldhwovOpn3xRF5PcIa1ThLh5DRGyApYYjdfftJo
f8HUTjrO0MOmbgb9JAVpfvRkDXOYbjGNrn2xxNul+l2W0laFYzhHRpXs7IxE683s65qXnYZUQT09
kUXfFTe0cVv/1Gqx5x/7uZrVV7fI/W4r88iTzxDEXdAoT4ezREerCyubRm7b692xkOThHien1jg7
TNbs7HPWd/upIBdb/+iRZq2bAdhoYtrHTItMcZ8BiOFJjnZsfix6TQznhChE79YMNbu8SRw25F1o
oQfdmRGqik/szaq/jg0jzc6mroXuNtNS+IqYjBBQA+9ETHnBnh92ENQpogSNbGqatcyJgQhoNJf1
XY47ntsHw9g24ZZEEk+slejb+YqOR5Zu3QZe/q736sI92Hbh94fa8jjcGQOs4PsxKZpXyPNpvJMR
lcvRov8yXiFgyIbrxlGUeQGcwyTd0dtVw87VolyeMtjO7drEVclfZ2mmSmqQtrJPjWlEE0dsq8+3
SceB/dSKqoqOE3k/8CBKhTpGgzX5Eku8bzdzYSIehjam7dKcj9kLeGDtOukFVEbUpal+gHgpcbdv
oUlxeznBUyjl2p3vVrq91nC0L1ZRKXqxh5Ztp2uHdfoTu1dZkf6ZwT465YNoI4z0eLsgFnKFH64e
fZ6wLSqTvVUpl6qaxngzy/WoQ4HXbhze/ZB+ka7TW0dFF29YtyFanxU4jU92OMHv2bNru5CDSU2q
5utSxLQweViivHe8alIrnrVyVvosm4Y2/WxQnSNAKM1NWIgi3vZDIWNsM0YLS/urIYdiVO9EP4eM
HVQNHX72Y0x8uJtbkRdIMaQMc9iD0CZDofeSGWn27ue2nrHZDiYnLXRGhEti9CrSw/ypB/DqylWU
TpzwWqFTgAZJ2dlfdTHTsVjFepJ9HeyU3NFVncziPrTooeYrb/QcqF596UITKNLwlkquagtumeZt
Cj2hNa4ASM0DbWKaxKuxwjLXB9NgpNLjiS5Z0cmXqcz6ol55SEnvdH+i0blqdSN6Jkpknjn0soTe
9Gr0x24lCOVKgQdyA+b6yIGOJqg6T3XT0XwOWm/w24LICcNUSdLC5+413tZ/t8b/TQaW8FE//mpr
vHxqs0/d5/h1+FS+2x6//eJfTQjd+IP9jT46LQZ9EYr9qwmxbL3v9kMDNS+yQ4/QJL76/X4IaQTK
kwPo5f0nG+I/KNnIo5HQYrGBRg8bip96Eokx67lvjM4dGxjLaJSkFmdv2O8XP/FSM/jhidx9ayv8
GLBluIsw7Yd2g0f8EubRQiAfM3gIb96qP7QbcJOnZRn50U2YRbj2PbBQm+kDWxXjGvlEPHWrdhnw
KdOGwd8tEwFhyLdJMVl387fJggRYviRhFF/Q4YRMpw5K9sX9Ns26Zcpl36Yf3Nn6Mf42Lf1lihaD
CWC+8pepG5LVzjRulik9fpveyTLV8eqSTPv0bQnIZgi4hAgva0MTtYB5rAcsGvW3BWR+W02gRyaz
HyTLMqN9W3KQ8bP++DUe9QXBvW8rE93zeuu/rViKUMakCKLM6VnMsBSkwZKuOwmXS7uZ5WwVqHGc
TFqlvUfMWTk9K8RQqRBlhz3QClrNleEoeWigjRtrfGcre1UVZnWFfVWVEf+OhcbagW8YnYgEnKy9
0EZ0YqqEKbsWfugBIplD9xjpUegF1CCeuenacWlM5RODIO10dE+WTlguPlR0bhewb7zv5hgmQEl+
5AR3k69Tg9XHe7/MOC7RSadMt5GxNDi0jHyK0Wp69Zhm1A5mYiu5Vlx+CNSDtIgTErhBfDD1MAFM
xXhARxvm+9PnuUh6aPg6wIhlpKmzsfkwbZXGVCXbgfTgZDtOunHTZKVytxU7QAiRcCaKMhqN1N7r
ie+eseznGseRSQZ/PJTPVTrBIRQl8vnA1iX/9Jij5Ksb0pAHjk3d4yyqPgUjp3FDh4Zo3hvONbI8
2sY03nRTyfnFIq9z4uEnQwptW5fPlnK5USfrka4MvNtH6coZBzREKcvja9EbSHKo9zNR0Mlr5o3O
J2RUHp0mzsLyUdaaKpHuhDL+nBFV+1TUYZscQTfL9oQ5OScu6VRnD/4V+Zew72ATYf0nAjfqDCh2
UxveGXLk7cWAJI9kARPW2uCGW2/nTiPvMx0KLQ9AEbtHlP+MEt6OPT9QYnXaJZ5wlLuKbc4KkIqo
13eVhGYVZHbthx8SpyLTE6ZhbHzxuzFPtgCgtvOxhX5IbmU+MsT0ZRBl7OvulbDj4TP6QhLdWikL
64M2joCSqeQk8ZnJnU9foNl2ZqHZEGPCznI3egsjYNyYk4pbFA+4ovfKBUuVU0QunSdHrmz+tgr9
t7r7XXVnsuH8sGD/I8fx5nX4P0GjAAiTz9m7Pezbb37fwxzzD9fBmIl4KSI1LaTOf+9hDiGOWKGb
aIoENRtJFX9vaUQ16ogrWEZ0iE/YKVCZ/bWlWX8QPwLZ/6+/Mf6TLe296nzxr6VOdGlmQ9hEefuz
FVoIh9dNDa/d111u3yLwKv+08NQ01prVhgcIWePj6GoVNe7fpIN/s7W9l1Mt34q0CQYr34hL0j9c
tzkFNj1gFUoXJb6aRTt8xHqF+ZLp8aMowvg/0rfDiMKYzKZl71rUxOTq/SStx2a7NnI87ve53bHY
EkWc7eF/pqcpqfVD2OXqN3Kxn58qVT4FOM6OfCPHlzfPph82bpGkoSqakObBKHFpVXl7MRZ1m5Xx
hwHZ2jhBG7XY/WdPFQde4AJ34QbrjsF/vK/WZZrD37URJQ364K1nLSlWpeqTnT/k3kNbQ1z79fdx
AHt3QMH6EecBG9s17pbDCoe0n74RGv7MAEv3YySd5zwf5RPCPnnbqdCm4PcyTueO3h8i1ab3JgDU
pk9zucWfZdpburqzqJTXYwXViA5VCgUtl2JVN4l1YGc3HjRvyOygD+GZrWMjtg55Rso5OkLzrsWA
R1sLqAVrrB5p3NNK9U+xmCsoXvxhmgmNeofEyts2Mm3Q/iZ/yuPaPkYtf1baJVF5ttL0a5scgo3p
FeJBrzW0Clbs75JC+MTdy0o8IBiAr6pr8Q0Nj+mupH18qPyQVG20TvYRoxfjwcZa/FloU7VeBJy3
DZvZ1iGaEiAwMdwzz1BgnAN63fS8ebPVzCtKDpjTPddcJdV4F9ptsptRjH6kg2cd9Nk1D73PzRhp
BBZvYMRKQvvALRllxxCidxReh0ZnbWmtWVeuMyS7NPYrPSg8NLP0j3L6IuMUVZeZ4BgsqDET/jpH
kP5WaSiGbel23hqKWwnlQZ+cZjWPmb+z+pRbrBi/u9Lq8ic4xcZ0xO5DfMiTxKgedfgA8ybzXK4B
40nZXOd9zcEBBVN1YVfmL6dk4HU5TS+fBzfUEb2EnTdv+jFHs9omw3AuJgZWMNe5d4bH5oFNRCC7
CMN55vlYTBsIbPXDMo/PCMhksaJN4Tw0IClEoPpx9+hydg38oTOOPZX+tgU+QeGaJt2GWG8DSLRC
hh5Ims9wxAcbwrbZJucwc52vNnGmDwNy31uoMtU9cHII8TNOLrRwhBFwj7RFkxrXo2KYrRspUztA
hQAljrSPeqO5ZfFklSm0Em0k3S2gVm77nddW+SsMceSEHGCbFWgB3RToIoV+TEhlLFdSh7i9MxIi
w3QRIWgj/Kj5M0XPceeWoiLFDU9XrjPvViFi7A6T19F7wvokNg7GkCJJCQmxXI9KgesMvfalRWS+
GZTvPAmhF1gsVOUFc6WQQe8TEkiazQxrr7frBJknXdTABE77ohu99afeWOPGl4l3FkTFXyKbN8+A
EaswTeVt6LJ4gCkbD+OcJ9EWAgz4tVdDZ98OEf7TMPY0f9/6OY+mqhh9XlGMd/VAjkPgyIbaRLO4
rTYZmctsjajitdQ/4coT34SqkreUEWgtaRqVjGyo/PsOI8XDtNA0cpr+QCWpfW0gPNqAlfi3rHmc
Hn2vaL/ULmYCCHqyS2HnXxPOjycrH6uThXb442yTh7Yl6sg+QtKWZKC77pleHm1SPV4uo5AGUjcT
ElcQgbaMAcwsf6ewrY82gyuRb78tlyIpk5ucY/KdDzSwMzRWgTjhJwudiUumnL2XPa/Mtcac3O6J
IySCO5u5N2YTI71JgZKu+N36bJkp/Yuwse0jr5rZbNTeuRh1A+1SERmHIW8xAIiy5eqQu5lwpXLR
bFSihLkYbBcnDNcV7aDKDMo0krdY94Uf6ZyUFwpOotF1aXvsYjQd14adR3LVefG0aUzWlWhO4CU3
Op1zIC+8iFLf/9jaOLQFqTP7H5ssrS6O405qT8PKPmoe3okbY0Y4HIjRsW8KDKWv8gYVejjU+svc
Ns0H0UGi6kiQ6DfK7niLsLonY031ZH2gOebuw7rljq1e/+yT15MzN13vpGdF/cxqaZLvSHTmMfW6
ak2Mdpyy4ugtIvUQSewO3rkcl6puvLPcNsU9kTGRrvpySnYueXtyVYhFH9BqDKuNnZfhuCF2yt7b
mWBwelU248/Q9blFfTQxZkI1wI+KKnvKV741c2Fxo3it1tg9N1QIFw1K0S6z8oSx38bFjVlMEaoU
yLDFiDlJYKW4n0CZgWAd9612O2NT+5jTNkXAIxnTWc7djRiRU+Thq3EEDOevQFwJS87sosVVcTL6
4xxjNkkIS4M6E0X9kOBtRsEVGFOcnKRdJAdYJykk8eq2KXt5dIYKsLho8Jbro24z5YN/Nb0t66qN
5xX7ub+1tE6tqYarLyGORHszndUjmY391pNluk2mtl2P9QBVrqiozjBBCEgBaqEOkxaIzI02cx6l
e4FGjFac6x2KxNMuYpDqsbVVup+hkqNDnNOVkQwufrWosCFZdBAUCsdl+YKp9EWFxC6WseK+XP6a
E1V30PDr/qBFvbrqyX3YomiZt64fpqcib9yPKaZGm9mznfXCYqT9Z2OsD9dpXgHlkj1p4/qxlmYI
lDvYYfjRy9rsOcp6IyBPN90WRvFx1vX5HtML75BNwrlI0caHqjPSlTeYCKgbl86todp2h761WmV9
eJ1XsFCwknDbW70hsnqnYdlHm3sSxQcM9YvhGIYlUX2V6XfWNVASFER2c+ZkibQmWcksb8a1XxSJ
vgLMnCVmNb5+JWVeHnzyH/aOHzMCGg8PIcaa5W7x3Ihvc5oGdoDr5rCu8DNTGxGN6tWvBduBgyb8
MKfGeKJP6629UbNu3waT38tS442n8BKTRogNXnLZGh5GtvbUkBFTg04qKPNa5xxLKuPJ7e3qhKtC
cuzwQkEwEdn6VY3RRLbVefXJQTWyOUZNbu1meI53I8fuEj6CTxQr7BFsXSqo96eQYK0Du71/hUA+
fczYg6IgGyBSabUJnzMv42gf2kl8nWXzla133qpxYovuZFTG10aoTVf4qqgdbsfW0ez56ymZIhl0
Wm+fpny2Tyqu4eNk3YD2W8EzQwTrhEEzNP31aOgzQKz1GfNiDsmht0em8zTQONh6o5uukQvJI1ZY
9TaO56/95Hwo4nG6s0yYC8fWzlHL026wOHHG7gYdfMpEHNhIMZgiGxS2gRd7jE9cMaxjN8S4/oKf
0D/FnCfc5LGy2o2NqBHophw1L9kNCZgE2cZzc9sDibSbUMeNxEWROEiOVRmLSL+Oov4utmWyykF2
ulU2jPV4UTDZdqjljJNNhbPqYboXG7ri46NnipFFKCz2Os4fNyNEsw+lNr1W6SBvvM6RWAhxEFCB
2xZQdtFOcOZI8y6GO6aTD8vZ6pDhkAOUoTL7E2KfiYjXxF77Y2VfYwjDACrMng/RCQoED1TYviBs
wZcky0/90Nv0l4Ys0Crf2xDXYT1HiPaSvjlwxIhOreHmxwg23EElLZhVbhJYGPH7n0DVnMPo+d3z
YMTipoLMirLQm9VzAQd6axpdesbuxGMvb3LzAHs0OzSVaW0Mh8RtFg7HfcUdIuYUFov+OgLUuMJe
5bWD6hlY9hw/ozvDlWBIhH8OK8gRm9rSxlejxoVznTsabAprGvxB8vbN2OFsWaBlDKwCnpRoYSSj
tuC6szA31q1Z30iaL9sqCrv7amIuzZMHm48jHeoLpu39stv2mDoV4ZepF3LlxTJ6yTvsII3ErV4r
XC62paaZJ1NnWgez6KA9zF4CHVcVD9KCKDaiXvnkOQ5t/VBPYHjo9UJHotkJH1qvLrWJQCodDfwa
krBBHQ8Z+Etp9goN/JAg5zLbKyvs3C3Q8aqblpHlzGSRj2EZ4r0DMLglr7fmzSQzjLfFRomkgnWb
LuGPplM/aE17wXoMdpEkSaiDmQhxUvRYg4ht2FDdgpiNq1AfXqdorAJ+Lz5Oyq+OGCvfOqX2OW2d
4jOqrnKluQYatlyZJyhj3aYBahtXo2Z6SAHTYh0NpbVO3NHiXG83W7OGERWESAjXXWIZJ3/GIAKh
zkdVFCHEJGWzkKPvKZSu05aasSNJGpn/6el19IKymudUkN63XxjYD2VcFrgjwhW80SJNrKI80s80
aSGAwp+40qPG2g0cr/Y2kq87AcdCE0p/daFV3DOosS4pGsM+h6EwD66TTxvdoCIbOkopX5bJTnq9
+GDBosCRyvSLGL7viNzRnHGHXs+A+fQ1SU39UONcDY904mjg6Yl11cdK3ppqlM99QiWnNWlUBqH+
ZhCSYsdQATY8JONE1amZSqzkUHlrouXkdip9jlctJmDbuaLWNPF7gzcVe+cUttiqUnV2qUw3Aal1
ivLSo9UfVHJjA49fTdn42yAVAKQfGghv9bmgeY86483+7mcr5dr0cs0w8nSfIuL5UA+j+NA3Hgem
3tVfJKXQ8i7TBBobxKKgaVXTBSbP76Y07eygY8+Dq9jSsm2mvLr/NXrw78AD4j4gJwrdMb9xH34U
UzTzmLZdlyX7Dh5zF8RF5GApQQpGEcBu/wrfrv1SjlTfJlvJRp9S62oUCGEVXKgtHFYjXg9I4G8g
fYP6Y6zwMa0g8ge+KPMnnFcQ3TrKPIgit65E6ZsHjI+tgxZF1iFmqJVBZxL2CVQy3g1eizl+KIqv
b4fNt+9ye37QmdOlNhp4q0mE2mkdeSPVQjpqPktpAj8hyKRjXr294yqHmjY6E5D6MLu/sfj8CTJb
oJYla4PcB3giwIlLr+gHSKnQOXRrnO73BPmNd6ToogiOKUXAWMilt7jJ36A775tPb2MHYIKim0wv
/GN/xnYcWk1eZDrJHtY1XxNO3rqoMXvnmMRSbHhRAVJTGNM6dkf3d0qbf45bXJ0F8CDacdCRZVz/
cLMayQ+qWva+t/dfRkZDJW7mt5Q01eIL8T3I7f8byL180edKTg2OVF37//7v9y9eMON3/7N5a56e
1Wsz3b9CS+j+UkgtP/m//cvvbKLf4NdkOC3RD3+jsv/Er1X5qVfdj8j199/5C7mm+WqQ+wOfaFF2
LWSivyVgQv8DdRSQqmEbONBYAKDfm7Ge+QceoUt8qY4/JAMIzPA7cm0bf/hwnWjj4A4OeQqA8q/7
/44Z8+h4ktFr9W8wZEwm340SkFXDJWaTBYQhwiry8whFUkvNFWUkOqSLVmg79N5kGEfSFkjF3swo
fttnCNiTetVr2yiOhuoHR99U5UCNAFejbyfnVtZNOp7BJjK33oY+zBcXdqzAW/Gqz9woy/ZDQedM
2+Omg8SYY1s2nnGk77WLiYnMeHZhJ7N6lFVLaZrHcdhdNQ6L+XkkkABJuZnMKcqIWNAsxCnDwZAS
N7gxgyJJqtywEKEFn81qkhTzEzXgLL5qZTEtpHZLdiYGXTBI6xcj85IxXneav9xKR8bEIlHCQjqF
tozSIA9iPTLUq9FAbWkD2JwJJkKjNAuO4b5N9OeVbkxpj5+URIhwXIwSCf7lrBJn9yVseWqkGhVA
Hm6kpriLuZn4JtctCveGXLVp3jm5MJt+G3Naqf706KgNCDkao65uMVIctEstoIXjRJP2ZXWbYV3U
bp3MsbLrppM2d1oSmJ4fMh1zuE84BBJKHUiFEfS1NtXFeJa2K6vbxMADs4L1hX9hHOgW9l31zkns
KbkjUjySX8jj4bpiUXd4SHZThxhXuZVZ7v1mpOgfmonnCCalF8cqq7kGKR24nwTgafUzbny8S6+o
CYEJjCpyfX5N43JjOwRrwMeOt1gzNlJMQOAkPYZ9mdZfRelY3KwcI9E422lybWj3GdDeZxrLXUeh
Tp03U26WhFCuqPlx9uPsNDAMtAKLpwvRFV6ExODtjxRJcu0z9AE+YiV6KqohSEZoKZcGvI6RU6YG
zxHYlKfiI+PnSIYJ8sRP23B8xnNYgzs3K4Tvy3uP/JlT8t4ApGKA5E3b8/O4BfDgv7+RyqOLNa6s
KV3+lcWmOcW3WC60DpE+/hxbxSaJJ+pDYA1uVd8sTeb2OWywTONYagsKZA4GnSHg5CYwv5DdeTzT
AZfG8YxvogFtTBvCRrtoTEnc060Ez8aXcu6d4sr2tCr+6JOyyiGvw1XVy+90BTzyLGoZce91ijlE
FdR1nc1PrZyYkEaLFcAzPmb8idkRnsllVI7TqS24v4ccHYMQS15ZHcQxjCSmtFMHePNCXpV214TP
JB5I4xhVbZL8aShEipuOPdM4drOJxLoePKd8aWJrsp7DBGulNY8uzzH5iPlQdqVKHYjucO2AdvNU
7mjnciod65RgKkRxrgmEsx0aPZYdwWuojjo84sJqmwG568XOam2OBzog3o4IiTq/KlMWmMBEhZWu
9R5AHnJX7T2R9GyswL96HS5zJ599w07tdT1OXYEMv8ctjDPQh0Rrqw/ehBJsNhp1W3ZeDkVLefij
hb2DnMOp+LZYM8MbbGCtT2r0EPznrv0xiuL6OiE3oAq8ylBYD+jhrM1nfOpqOi9HXMVSddL5RNYD
3EHb7k/fajzzVDboHptNrWKnuwlnTsXGuRMoaICcMsvUik3alb5Tb42UE5e9eFcJ1qFkTGvWq0L0
PMHg24u0l7X5NRP6VD4M8yJHX6eRisv9D3vXv9kN3qS3P3JlGPCY6cN6JebZ1ykN3x8Z+rDH6LW3
0stc4Fm1xycOygPVT8FamMCaz64n8ncQ4pe4UbBes5xCG4fHkDIA6WpAMg8a/DG1y4whYXQb2kCf
Kw2pTKHfaZnOapKAVaiNPZcTwSi/vvyfmUUG5+ClAwxlV5g+SUrvrz5BS4SDS5o/jj7EgnBfNL5l
9AhXhB2Ji8ibqfL/owPlklrGl/KdxCbReaaZ/P4rLWk7zdQ2yaNCx4o/54SzKg6s3din4dbOFqAG
siUOE0+/vlXI/O/3bQ+SgoUznw8MSuf5H5EruXDQOzlt92B5qZq2gFVZ8if9MeX0gYOxXfkcDxqR
GvbUzPRSPNzD0KHo7gAQUHNmRLbGFk+boaF7c6q9yR4eILGGiaKYppv47IiBX/HaHDOyeC6rGmA3
TMU600YDjzJncKuzKd3JvPFpGFKEaXau5RWqPfDZT4XqXIiRbs1yUdjuXNylcdyVZWAUWOoBHWjQ
8FecjlgBgZtN1pZRgFmeHEOTrDx4IKuNgySaBVp2McwSgEH3HiuTIv7qcLQFoijLcbZWETqnDPRP
j+bGOvQ6fkp0B1CNP2GGwYfQzymrp9Flhp9zLxEaFhMe9wfQz6KkFR5f8e1qiKXvF3unhtZBSUgP
bq5faXo3EGPjslTlvpz5/jWe3ETLr/FdlXYe6PMk3WyToYsyjnPPMr6lbPfVJioxlzzT3XAIGKxG
9Mf4YE4Y0Y1mFz6ryOz4rm9frOO8qw4iK7nPQpgzEKxAfaQObVLbPJ/RDUV6rRPiY0Bl7WC0BWGN
aR2q2cXp0rWR1a6KWEX2eWB+Q93RyDJc5ak5fImQ9XifYug62gVvt9qhdTra3aku+zC/tIWK9V1f
KyzbkAJm5A6IcpGekBWEc8iNnYxDjfE2+MoN1Jq+moK0KXOeZzS6amPkMd/GxjCWuwyulaLMpEmM
f1dtaBmSS4fLSFkgrXyl/Hh5pWEtwlNJ9EuJpEwrLSwJE+RjGM4qD9VqVxuMurT3R6KQca2k++HQ
wom/gv5P4xlVVd2q34W/L7P0x2VviTs2llQEohFhtv1cKeF10DOdnPqyWIU1+LhG3exPuxKaK81S
K2m97MjZuNblWip7xrtcK5AMzWju52XPzUI95MT76yluwk75+apsF8YFWnzfMSFD/LS2iGRK5t4Y
LnUZ0X+qiGGs5UY0moVpaDgxiHSNcNYYgHQw5VVK35/tG78l/w4T1UFD/P02GBIzlvWNBVJjn+Cg
valhOHSxCjeVh3B0W/VFHn/V+6apb5ZNJ3xO/TweOP6ak4sa0kydUV5jejDjD13WCoMuOjVENz7p
9WQ3L4Zepu0x5rRWPboyK6sr18BB8bm2h7a7QnbE/INnqZvT+teP6H11zerLLuV5Am2SZwuYN0u5
/0OFmw2KQ3Yxa/ejNi8vrFjo2GLfFMjF3BUdKLef19i8LP+CDWlynKRjnHJe+/V1vEWmvRtAOIaQ
4WHZLmx3NtCf9s3RqEtm7VBdCkAOZmfSxTIOef7c9p0G6aLxUfpnZoWqruRpSNwGWHslL9g1VqoG
4J/oVeVucdKnsWy2FaaaBg6anpVWDxiY0U3C29Mvedu/vvT3JBseIVnMlkkVSSATSM3PsUGeUkp3
ehndT5mcOR96sb5UVfWEHy7lXT4jN6Mpk8UUdn1lcZD89fdjbfJ+kLNXU8dSHOvUx3hDv3+FU5cm
0M3z6Ty/kQNN7A2oZOZ5Lo5DY1IfWpq3HJ+dimSGaxuCMO8ShwzOvb++EPefV0JUGkYKNuW4gCj8
0zucZNIZXq+F97lKwjF+GP1GFEeqN6oMMVvLgX5O5lkDskLSiCVxjC1tdzXNmExvYhjw9YtbKn4F
VXTPEPtWrH7/TVVHJRMKd1PObUHUNVP9gj6QYgW7L6TWq6kuaXO8lFZoYMRtR1M8P2GGQEf2WyGo
DEWp4BrJUs+p0elcOhVh4vablJXIdTYmTuZtFBSgcmwKgeBT+Unx9jzzsBUO4DYuspeR8o932SBZ
4u+tMue8hnhU8AP+QtR7JlPNqV9Qr2qUWrMTU50PtpUNyBiMgqKiyJxlTKCgmjzc3cu+MoJpWPDT
VVHOBUVgXE/Ud7Fn8mAUAmH+h9YdhVS8+If0B98IMd3eh23UcZRMCjI+ttxRzpydTGB+f2NnMhse
Ejvuw22mU04dic3D0xAXDavKky9+oiqOmtZCRaWKgfvGEIlVtQzdAZInZTIK+wWgGL1oqZCxNOxZ
IFCzNhxbNdwhuQU6aLNapDUGPygMlIDlerBw9PpdzPzi7fN+lC8LOMl4DC3G1z/iz6d08kILm5R7
pMfLYoTDeJtoLwhJteFjaDZpAj+5IUaPLO4lSCHMKQE2vvC1CVgSkxhuwUxARm+9iWSKGNt6UEVI
0jOpkjXprpJQx+NSUg1u0HutsUzharCaDcoWrPymlZO2GHVjFYP38hH6VY2bQ+dTGx+Zna3kFZLF
IHZu1mNevJJ4kVKCx1qnybsi1vv6kRTgNH+Y2mwmfKOE97DgPWk2zOuiRXi7G0vOuvT+OP3X9q6w
cf11V3KJeCfnwLIXoGUEoRgusDXk71YRxHw/PeGFnciR3wZsAzn7xxNm+wVqY+Ld9zhWgj+ssRBL
xbl3ZhoX6FYixm9NPsb8NIGtMQYcbADaLYLOHHRBj1lc0tGb4bPFwlQadTS9svGVYnG2CvqB0sQa
BaM1ZqwuFL/jiInVCcMwPsVH4a9qSNeOPhC9lpRGzVuzqTiJhkyLU0zvCOPKxDQXJKposUhg8+XY
GOP5Hvq8Y6b/MrGhNorsWte7ZZ51ynWPuHs2vbaFjs88TEx6PS0+ZhmDNSikiikblyJhGeHFuBRm
KtGzfo9EIPTrkxsRZ/kJa0+ojgEWMIB4vjks18COZYCGfYO8OMRTxUGKUgtowTvl8cSVm7fPBTYt
fOhUECUP5EHcW0sCicqa8Ulv0rTaWj1es3DJa2zphoAWxMyFfZ+dgwUj7SwIz2E6elblsp7AhF/W
xhHbXfVq4xPLIHGVvvwrq9DxDoH08XXEyPRt3f22BkdWtNx2Ss5CekKeAUPjCkpdhCLOQU3X3I2Z
A09gnffibZlS5jLaaiuR1NhhZQ3ZXvn/Q9iZNbeNLFH6FyEC+/JKUgslS2pZLVv2C8Jq29iBwloA
fv18SXBirukJ++XqdrdEYqnKyjx58hzboCWCAiDAjx0a3NtgKYAOiylJZtUHnzlF4xZDhGQ84nIW
jMujg/KLz7BBXJvfSVuRpf0H5W4WANKK4RDANESd87XK4nK8NkzPHH/E6bCA4bByAHSyEILPejCW
Sl6WZSPk1t8yic0S3H6BI0Fwmzi0B4GVPIynkVdt0Y47LomVNt9aJFJpwyEq3xO70EE1SGCiLA86
6zEPLHkzQ0QmqAELmcBHB9VOuTFsBzLuXzMszY/Sr+RcVzmt/+tFzRxZTN9Mxg0SCrM6/vkQPeWk
/5sIkUxAMoaSHDHjaIbhRc/B5ZBK8RpKPmZVlHPM9PaIGeAVMbkBBN4OsZUZVoTJLbU4H0NQgLI/
hN4ir8wyUJ3Nboy8rVgkEZ0mXuCfr/Ay36FNRsEHrM4AUuRBnPs13wC5JdlnFvx5QnMcZbGBiTo6
wCZGxLeN6qrsNavHKLhKkj70/1Jn/H++mwhFlkPrCcbvpRobyLnbF+jxPCPvp6O7DO5e/5ygmfjK
wOPsvKkFaerHpcWpdvfnu3YuDyAyLIatTGahiZJMQ1+kWSC8rQN2FTz3EzrDyFfGnej8F175KesZ
yIBdCFM18yuiJbwT891EAhwM359hA1rV5EMGbnw20vb/7Vw5yz0c19z+THvUNvd1kKnuw1AY8Ph0
vDrxl3oZp+J2LhLEW8ChZ33ItDGGGBnayk/pKBp2edcgtOT8QHVH+Tcxnmwwlvqea9gGemwodeFf
agapCX5doeBwkYeRI+UDrMeLmiENmrnvle8/l6i/MbtZjFAbkNmyU6isO/TqGmUeXIJD8/nP7+C3
t2+ZHgJ/oW/D1sPF/GJrDAMC9TaEheck8KYZ7f/R9j+nxWJkH8Cwq3mPr45f3AOsTOlftuVv90yb
iPSDSQjqXMwYLt4+ZEI8r8CQOFOglz+jGCRV6xbix6wB70dGUFKNP9+xdVmf0TYnEsCuRO/PQd7w
YrPpgIMMh3jzGQfUENcTFxBZX7nMC0BSDdaJc8bjVZjzwarV2ot1E7j4zjCQAMKJzOp9FOlQFUPH
oviA9Rgh1ohXycRd8tzev4alKFGQ9us0NahVZW08cibZyDDf/uVeLjECmyadx/AD8Q2c77cEo+nn
NsaKitPjdAaYY088rTDYsd5ry2vjh8UcjR5zeGux31MwC+tWd24wXjOQZId/iSSWLJZfVrE0JqXt
DwIpRt4XT5baIitBrzMY2zjoGHvPYaIbxdAYJf69EzInXV15AUc5ajs6GpSzgy7u5F+NrolX88pm
CrxAdx5iL+8gybBZ/0a3WMnBb3eIW/2lyrysrWx0FgBHRe8R0anfdCjtyi/7irf4nFtmpj/BRfTa
997ypbLLkjKP31L80UfI+NKVYraAFlbtQgQu/7L7g0tQBS0I6LjYxoKpyCO82IVKe1nf+k79DPdg
WP9ZaCegLEyPynffwqxoxhtrqKbF2o09zpaYaODiFOxNuJfJERabr28RM4D6xLrNo+vg1JijsLWi
g593/lVrTwZKt2i90hVEQq8MDrYJJeKr4+bOchNG2OLUu8Aq2+l7MqgpRyaHdKf6US7kEQIRQtpT
GKgwjnM1t22HJWjiJe1yIFvo/EcoexRLGbF++gheNhVfEdoENRwBpcIDAVey2dSA1NwZ4Rp/mYyV
gEwzM6IJR3Drrjj84ADrIjAhCU4KEs/gWsb8X1fGmDWosOu8fY83kn9dWjHx2En7pLhTzNqHh+2o
SNCeJb3xlsC9dcyUw2POp1M9ZZaeezspzp/bsGMK6hhHJnZTrfh2XBfeTAlIK4vTolq9iNLZLvhN
f/SM/G4W9jlTKi1VLrkWOUNHa6r7gLcb/6asq256CYexqZe/BanfjkablY/wKkcC++i3uGzODG6k
HVLA+Wjxhf2IgjPSBjjMoCKcmjzoqI652jSTx2oCguL/1oP8ISDtZnl+SFWZ9a9/Dje/RWwHthGt
f5ZoBDxzCUbMDLGEZTKtz6MRu27BCEAkUjk2ihQIP5pu23fPdgB38O3P32uZv39zCA7EmDSQUEBP
4wIGaQ2GN2vTHJ/N2cjH4Kbeyv0xNYh3bjpISnZuK1dIYXFoAOdTRq+zYtjjMPodBnL7MEco7MUF
h0T3AKep8TNtMrsr9oUJ+RqDEtaC9SnyQrv+gtR5PTx55M4E+2qIhkjtPfg5yVW9NEa4RxBTe5Ca
ijJ0aQjqSNYazYsQRXhO7fLadLvEuarW2EClZK375BGMM7SuU8en/ekD4fs3SeacqqTQnbEoaU10
mh/B0QUb2HCYrVFvI7KwfiKNktZzr8qYDL5xMsEp+A5i07Ta0u9tKBGoaoZeO/ly5NiQa7KgQbMx
up4VWyy9JOGAWyX/JQ8GIpqJcBZl6Hx6XuCF0nYm360Ediia2XOvbKVdo/8Hcp6cjXFDcZ8cmGOq
1nuGg2IgFk6/3PwsPO42gQ2MCj0M0whAarojw0cWu19UlzNkcvqS0oBslB7MCI/17+xCn2O1cq0e
J851e47GsEh5oHULDfBxa5ZbaNfRljQSiwR1zwwGKPERP4LBeCMxt0NktVd/LL4O8DcomjZYcAMT
9LnpvlE00gUt3AB9Vh90KfBp6HZ7vUROuzzEAVMzwXEU5u51AjKf342uP2UPi69z8pHYHosbVWF8
gzw4rQXjBY9kKaSWLPLXxwBVKntXojjPxyNqoF7+sg9+iwouIlcMADoBYCAI6UWaSO3EDJMe+2d4
DSp+xyPISL46jj9PV00bZauMpuXjf3NrrMwOuH39yesMVpvyRiytDEbQ0/Qvkeq3BNL1PIhE0GuD
kFnWS6h0HDoG2ddhfm6DAkU5BAFtmqtmhwxNA5HaYJVPiRH1L35qIQn0lwfyW/7jStrqBvQhIND9
1lxtTKbMFFSD57qyrQyHOc2UKPK9DqSN700zOC2zQTk84Zc1qyWVLqdefgwWGn3IMmsIM3/JqP3f
DnMPZQeAY7q+5Jfh5UuisvYgnbrjP4HTsBeQ94OFet+cSEQLNlX/l2NUWYGU9WHDMlJU8KZ9WGxV
zjcAAeuw7s3FNKZ/wH3BcDe41e4W/oKTe3W/YWmv6ZdGtLZYvz3OfBU8+hMiutL1lwiCazzqaWVK
VuMUbW+81FnXIhjJCALdph0yw51+iNCNSL549NdQ0k9y1wxF4NEmdpr+bAxHmpUR/X/FHA7rHBMP
j+CT4BlHAEGuCUho0aMAncZMbgTfH0fIT+6JGNXGBWnejpKNFn07pFi/4NCCsgNDJRt6mEKTH2/R
tQirw7oEyDExxuN5ydXqmfZyj/O5YIzncLXRo+wa8Yhnn4xp/TTqVi7KMxO3fa/LujRHEdmkfUf4
N7yBGQWXVBLq8wTlwvoLk/G3lc8EMHPO+AaGVOzm5XsehqVc7NW0noJmUd5NY+Eni3yqIUnQTKJ3
l5pD4r81FPPNX2yvvd8yRgqYkPFyMFb2HGn0RfE0LlnKGMe6QueNBjs5FqsBjndHJjsaOaD6iNTU
voQ6yo8zADTPtry0sXUcXqjPiBWHZlZAiGM/zLYk587AYZbtCW0uEXyybQHdcPKewY8y5Jm94Cg6
h8TkJk5i723CaixqD05bDQ3Cs1lnE8P1oOUjYTBp/ow+f5TDWq8C+QKVFfIh+IzQs6n9URgmuDz3
Lfm+l6MuhWSUnIjtAmfvHV+T0g+O1GstJwkygHHWflbFKtc4rHOGs5iJYSqVl2OEA19WDxX5ANj6
gpYxk0a1B18doq+Z3MJib4bsxc/qQllXmKamBVMUg5UyRanNdCjyHbOlyfSCs4YSi76QtuvHLNaV
ax7QGVqq7jZzvcFgKkw1DR9sthB1UlxkDGT/rr3Gi0v7xmln0VFGt3Mmi86QgZk+onRRFoDduC3O
r8oyOO0/ogoHkrPiXKNfx5q/ST8ybt2A9K6KedEPPayuBY+WiGNOf56xb6mKqxr0mDcYMRjJd+CZ
arX/hmmGU84tzZfCvw2ghpXfrIpzk0OcDkX7HvNt/qcyiZkGg48mgGjbr6Nu7qsJcZlrJpfkAKRj
zorVUCWy9EjzSG53mMA+sHdcohHz7bxlsABN9GZy5h9xogIE7dF1jeBZhy6Ch6iantKN7fPo9Euj
g8vWOEICVHMpi8XUUXVoMcXm8pvEkB993Jv8sGou5BX7JiuHgJFXK3LB5CoYxGBs7ac/PVok7Stm
VuGQ0R+q+PYeFh++UaynuCj2+EkvPPHFX06PCBMqvncLnrhiwF1lhLMnsW8ZyOQfrMzl+TOzyV33
UdzlP5kKzEfJntPJfkKzhpmAY+5kXFVUQOp7X0OVNMZ+pmlYXc/raCBLKu499W6VKVboliG75anI
jUluMmGa9K5L6ib/iR+6XBMuTySTO4hGqZTD5PDxdckEvH6lGbwOjPd5I/MyTE0YtLqcjG6reVVb
Wc9vmyla32/M+SuMBI1Ut/XNjMCYF94qEyuB/khF6If6a9C3XezKBl5xC8XliTWcOIXNVSpsbmL6
djZfWAwjvsborjCd+To6A7I4e9d3NP8uh43m35Hwyj/AuVm4sITK3XtDysSYpg9dk7JmQzIh7ml7
sRUPpX1H9N4ZXicrLM1X6IVh+cWnfl2evWlo/Nckt+Xu+ywf7ad2YRDqQ6PiPMIg1uzkjeBqxpCq
SJfKEu+HFJ9vpNVjz9oHvdWyzroJSO69M+aRDyILqvKfUZ5S7yWnlT6YScaf2sXAnuPty6LFGoeV
YidexR32uBsX+VvBkOP8uhVRtQMH+m27vxFTXu65Az7x70ra9XzYnK6uC+dfswBwLIt1c4WqaZ4z
DKiXRgblHemQeC0K3epgF3QwvrXBnE3/If+R1N+25uSWxTuc6/0XtxzI5SePrsDDRrAly466j+nq
Zd33cnY53YoKA4bn2WkRiIPvYTvpv6VL7uYe0HNeuok134QhgR1JPPXjvK7a2ZWknnF1Vsp5Zaoc
3h7azzXCsc0Vajtz8nnyvZlVpmlY5D/takqJb35pyUL2URsO69t2oQda7CZEqFiBVs4s4Dvc5UxP
HxIEjFiOzE3X+c92QvyagZwhiwcG6UL6Mc29pQ1STZWaJbQqpRhaxPapt4l8TBNrvhjRnYpfBw+U
c8Ewak4ChBJPJL2hYB6WZgsqHg8aAh8E0RgtbDzkwSKfDHelVYz6O30MbUSkQuuENfvTRsN2SWE4
F6LQkFKoLAZTQ2ydYY5eL9MY0eYxK1iVJC89zJ1DuNayvzgbezP8luRgPwyhMjyoww9NiHfuv43G
ceGxigev/jRxBKU3egQXbnfB6sbrF0wCkubB8eusfM/yyrL+M4m7k74LOizmsP5Taek/YPjEejue
i7Z67E7Zzylhyd2ibBAelyxtiFZPFfd9wBAahr9l1CzvqOd26WNU+PH47gRV681XIbQ6jD/wBkvT
+1HPZpvuMduIKETzmKgxHKAocCDdzgy0tTFGtaAYe8JAVIyHkVFHFkirh6anS231Cq0jVbqBevAw
oohewxTNgZ8ACQunB1CDFDZTgO7lD7dspYUWri5SSTnoJjUfYtCnXn7RLyQJ5xLLQ6+SX4TmzXtB
34Lenr3x2acyk5JucUP5JDq6XfcBEYJF3We5XtIPONH6yQNIYDM+JbD7hqN1gjQXZ82p1mC4ykaD
zccHx5PJccKwlRF+bz381771swOY0+MP0DxFWtM4pEcsSBmtb+idJnHOeDkz6+loCee4OTWII4xo
mM9sG07GYteWarD5PRTZyg90TaT9oyLN+i97W9r4wak/2zKySTcwSDp55NYY9uQeSI9yafwXl3/n
pr1waBOQMeNlS1ZRqFJ01Oag5YKGJrLAGk+QIsrsUpQv81zLD24XnAkDe0AwLw9Z6+GcSBrM+DWV
wggVnNK8bJScr1DjKOFXeIRQF84ciM4OhKZdRramHoMtLMVApAaCj4KEznCDEUtfTmFb0X+RFBMG
vV+vyWHsFWD2+RX5xSxvysPDkXtlLrCzPyFp1A/lbXtq23Wk8votH9sVQc4Qdm1RRaX/H2Vn0u39
wiTMMWhPYxHsYWSJRChKB3cVxht2eUWiItVCj8nE/blDigw/qnN7WtNmOB1rJ61x+6vHFGOJ3dAS
u551MfJQlqXnuvmqyX2sFqXcp+k0swFWB/+Gyq8BpvUGWW1TA4XupvEzIkkJg5Dlb2Wwf+tDQ8+B
nNJvUYkLnkc0MHiAaDm5tv/Bmxgyr46wptgQNyYpn+S9xpjlzw7yE6S45y5uHyE9hxqeH9U8omGZ
0Ozcibpa036dVlA6XMdCg7fZkwcgtevCHyUAUdwkvGnc0jUsl3NfsdJMpi73BjY2eGapyGfruIy8
Z1cdQxU5JqAOiuk9DfMyIJHWjnb6N3ACTCoPNRSA2XzgBqEUMNUXIH2936oiRPgahiy8mAS23EUG
J+k7UrayfDNwXnaWRwjln+qolXUSMl7NL6YoUgcjsyjs02zPvEYobHScFZsbTBlIKHYdLrvVVe8a
WJ4i4eBnKNpmMTAlliEn4osOhLyCRQ7yGfS9F+1nT/OKBc07WCwFIT6swsg+lZql1bA6yQ2ko36S
W2jNsqhvBgzTxL9c5njoW6j+hznZUf/OBiVAbJSHAC+f5ikoFoH7Tp+2jS5UCMgwnrJ95lqObKTC
gGLyHpFts48cdBU+VQPVdX6dlmBXnFOoM5iPKw3H+mXd9iFRXFrZoZoaTibPglvYHH3oirF9j5Zx
6wRPITMd7vCexBGvlwlxJnzMq61YLcxRgpDqGP27gWUDK6OIEZjkOXuNTCVBURTiw5lHZA9ewKYY
6hPlIeaEC27iPmzS+UNdh34U3RYL7JfjsDXdZ+RIhqMKUE1hUTm9UIRaZj5bZsozj/wi7ZBs8nYB
PQfKuWKYJITlTMeyPAyFrAsnntkMLMIQrTompoIuZDThOp6WlCHKDjynunHgxCu33wVLH8wwekE8
8nIK91PQJnqiRwkleZoRObEVYj7OoUhzw8Qhau2ZdFrQbWU0FlpmscuHFVe54R69qaUY+9slwaRv
jP7WEjv1Sv9fF4pK3KexA2fQd5hBpat6AZJByZsQ1UzCf1BYrkKLMF0kBnSkjJr4wZwsaW/4WUCS
CJwnNQOhscwxNQyWgV3pwXp+QJ4qQllE9f3ov0HEWnzJ/OukuTUqJOshsTaLvfzT5F2RvU4VaPgt
ECnyBDss88Y+2pdo3LTWXinLbtT9uhTUot9gnkjQjpCkoFZfaTG20RPdIEbtdo6tmVQQPq2UVEOG
ysEko+JoUIr1k5+Xtz6MC2isJfRTElQMd/L1xh1RwUn3ITqMwtNKLUnbUcYgr7e2SizDs5u0yzF7
FC5vmS0jIU6NRqpUpzQMy33o0gBZaHSiG5zjhwml3v2KprXYqFhZQhmk3CxiNr4AXDbkRlOeXcDA
SpZ/wWM0LPUxr6BAfozWzjSCO/EGtZ/ypQUO5azwTX5sifoS+zQEsX3tSCLXedJjdBVMnLCvTVlz
/a5iuvyBdNmNnizWe7/exEjv81t1uhK50CECoTqQ6C/UWFijg0E4gvQ+bMVuDa+P05dJF7frPnkG
eos/C3ThuHG8SKv6gEtPH1A0ja3Gq41W2DLUr76byYZzIBTwxwNiPPlPDC9Snryyc4yPHuDwUUil
DsZRPQkxlUV/RCOg86x/09aQ4i/DZtx/g+QyxteNNik0nawTlEABxsPBzHyXhqhj1UXrVKgBTNRi
SRfRqGJllgtVYkWlz00ZmvR1unYjT666tq2VgH2qP8518+DMDLftSxuv+fc+cjP/ra5idaqtmGM2
zzfgR1qqmckpE+TANmZVFy0Jl6TFH80gAyxKp0a53JM6PAi7RYpk7a78aHFtxXorSi3eJ+Nrqu5v
tttiXqjy8ocObodBgskBF+TXmhJlfkVeQbq+c6HlxQdNm2bFUx3jf5kesRqZ+JYSAJQrcEA4ealh
WhUzF9Km1oCXPX4Yw2OOQBJe8Jvi09a1q7oK1Q047eHLxsSdgbFlGTSTVBzJ4sKTK42utZ+E30Oz
b6Lp0t/gUefX9uOfIedfm8YSXTyLYVqmcywwv99UFfFJsfUcte4/kZc767/YX2HqfHC8HB97GhaD
DtHjXSM0HSpjXDipOzoURrq3KoZR/nwpOAL80nDnYpBD8xniZrzIcWFTXKCAobaCKhra+IkKPzcw
w2ZYD6i1LePkcSzXDsXvwalNllUsWhToyqwpW5NxxYgX1SP3RRA8QTlRQZH2xDgD6xIbF48luCEU
cTTxSzpy+LsIzzLvzUYQl0TK6DW6DfuInQ0ywQQhKxBlM/Qrjggtp0ggolEjZ6dChJuttCEibECB
m8gFpbzW0Ugi35SYsr5WvOAGqVN7DfSKhmsi6zaDNsqWY3JKA5oVnCOoaKDJMH2HeAr3sF5TvLoP
tWvh9gIulADkEA4kxHdZOMnYLu4GfBNHlG9jxgu50OquRxT4WY05NorTxwWXOMI/eqxceoM2uQc+
DbKFDyIUWT6pyiy8xV6WqtU8Qp9CpfJ2yPLFQfRfkS8jvI+2Dg0H2MXOquEe2f0wP7pDOgDQx0kD
mnpNr5czYs7yE9gW2CkBcGAGKP+pRsxeUVhaavQQQNQbtv2GJRu1xztxALwp1BlOJkaVyFp5bxYa
Bd4bl+UUDsFuRQkfexc50ZykkWetDIxLdqjwkE6cm8ZD0k5Ljbuw541vDbUrSh2FxUuN0WbgYhA8
AGg49Lhjxe71FNigUwE8krK5ByNxsC9cB6ss05sWIazuipgexemtCpzFfquQfxzR5GhoUjNu6fKt
Y1/U/XA99M4UJ9dIHhsmryQtw3zZ1/EqEJmV9AJ3WVgpEV2Qyht4JRUuulwNzrg4InykPQ5IUU0M
emUfjFFNPBsOJsHpwrWTYy2nH8FbpmfNXWA5c4IstgfnMbmzPpg9JmzWERlfcs4tqnipI6FuAipn
KcbbZmgt6LZvxbZaUr5BgokeTWen5nKawz2KiPw7JiPktK4TB1z/UIXJCWacSrTRboLKz3n4+dRw
gGyhawS45feA7Hg5i91yXsVas9qBoYn56FbJrqR8BJEYulbe4IYcn8Eo94RCw5jMgyd0E/riiuKp
40/QTeKMwVeZP7HHmT+HlxHgV5RX1H3dlW/Pcn7lG0I5xYq4sCE5dFxWPgArDP5VnAYCtynGRIFz
6xw0lLzfsP19IrQdCMmFrX/4ho8VwN00Iy7GSu0s2Qd2CnOPhAV6IuD21uuYLWyInoJasTyh+bi8
me04jZuIA8Jb1sH5+OcgePKh/R/WEUEQ6iC5Hi4mES1I170gz0Sl5YPZNelTrkKezaEIyqlO99gx
2DL33g06As6fx1JbdO3xF7RABcxaMe8MfoS+U2pktY+3oNx9ysC47AaT7lq3w3IXVJ75/cIiG9wS
L+UGgsgubStPzqgxLH31rQL7O415M06TkA3nT7mxqvnfGtFgUrU5l/WGAIgQE/CRm9nJ4VITasOx
PRWltR9ZOcgRbmbuPo5iDjQ6m/z+E2JNM/2W1nRyHjO8bsXZ2qPzyZtYmAJ1bz2MwBrvNTOpJtcn
nTDDG+3HeXXQH/T1UOofHqoJ04upKg8FRw2kwN82RU/oLYNI7mKZfXbH+WKKbOJT436SpgW5M9kV
+UXWVtdLlg9s3IXmCbmOjWQG/jBWXM7rUeHXZ1NM1vg2GXv/tNuqFO2V85FcZ8w1wOLM87oCgwqY
0PwI4VXuOqy0YO0YABdkvu6MR7e6inIrLb7i7ja0PzCslnVnYZya/+wXR7K0eDsRELSTJ5aMVU/9
zhmlebQjDAoe9ByjFfG2NRacoAR2DhPtZMvNXKpq+aBarmG5GVFH79+ZBW2S8D5jPhQ9mK05A/gv
p6QF+dpE+q9isJpHRe90aRg/r5SQgms9ywmRChyMTa2n2WcoH9Dz8u8M4Za713bR2GnxpOdaTqXW
AGF6QkO0JPHEo2p2nhlfNewvSMDR/Lg/HzJqHieJjUyoEBvJwmQzl6GPa+FVMzrLBC2ZUKRoXpzg
6vMv5sANyMlCfJSA2a1TRsciTiocynY15Vz01IeA6d5BgyJLVjD5kk9D10541xFkWvKWLUxkSSW/
ce5dhYmyUdvZbcqeJakjWbGO+4LPd2pHDpCiY6LD3Zt0iQjZW563lVlpGOY8CEYZ5SQ0clNqD4nb
Dsd9Ug5e8RinKUpyNx2kkeSGwb/SfmsYEyuMow+e3/3UPQpzzsHMrYAG3DhZfd99OreOyI5PfZVI
AVb2O6fRSYnChhWwr9dP8zB56frF6gnN44ztaZjW1QGQ00j828VjU9RH+j9j/Ggh4CA3gGfX4u8w
Ekrj+TiNmVx0WOPiuRzYi3H9koj3Wnc7w1Xn98MGaV24+lYuR0GmUOKnWQZlXM0vnJxw+HbbEU5L
TNtPAAkSNmPFxeldMFPisa2dWcoDfPNmFIA6qF3e25yg1hbtc2ZBqJWYebGO+kRHg0dfcw4ybeFl
0ReYX+Axu7wu3NkA58vosFaPunXsOrnVbY+zc1N2ACZX5TwwvHasZbCoewjUqBUWKzkkPTK3DOmD
bMSAkhIutP8tcLu1S1yoe7wOAucq0KEEnM7Cv/FtXltccPZWuOCcuy+soJ3su4q+KYCay5iaYx4Q
YRJaQqYYUrWQddVwvT9ZQSdFrRGf2rM2w8myg1wXX7clQc4Tu2QAckmQ8FCw+eGYNVonx9hOEiv7
0igDncZ/Bo0j8/rCvpbdGelesoGFhCrP3/qVSNDdppzExAgnxkPIvrWBM9hseBy7hMmyhex18NNl
DsKPZji4fNb57uaipbCmanVka/S5dC6XuLHYc0xR9v13SDdD9UzRumKweU4Oe2HMqQN7zHMnBJHD
KY2YlMrk7NN5xbGKEIbc07kO9/0aG4K9fWr/gegS6QGbCWzb+UP3tyXIuZoa5LAyccwiyZi/ozcL
fsQNh31BAOmVt+BdF8Ks7K8QHUcA+FphLxclD4PPXN2TVdey9wG3adZRygyQcsrICBL9eVtF8M1n
ytfQKJltOSIMCVhzV9ueqn5seEbqL4j67Ry95s39FFHMWLvEg0OAESGWQ0jwwsXybGdxAENMOeD8
cVhzSWQKm9fe4fs1VbJNCXUGvP7VMqRwpd6AnjTtwHBCXlJeloO5fNZlEgTqtjQYqP/I9IE9uPcb
fdgBIGX1zkk3j2JYkU7UvWSkZC/1ouQ/bUuoOvWYzapGbbq5KanI2AcughIEG3b7xKar6bDz7JM2
k3K5CUhku0/nwtd0l7kf1H6RWVjrXSNWVmDl6CK6iBpqsITTR59hHP26rZI1birlXbsd5s7YAbIT
tfUJrqHP+2AAepjD9kprSlnmbU/1xTbz6E4DW9sGOmAHIx5TUSFvqSDcrNPKD3KDFHmDS/gwCc8b
WkAvVYK0tNCJOufOHjIAdCahuxfSesNRGCPPfW6QjrjXZwRAMDfeWTUqL6ThYxTAgfXVEMUK4iSe
ogyHgZYPvPQdxbjNEoNvUc7vUQvnHBtzHjpP8AwxILiLQ9Sruypa1DjkRrzBWmNNOggxQBL4aCsn
0nLoONRp3lhsJs8AHSyu3CWVnLPklIWFFM0S+hiiNgoMTD2eKALvoaFczMnLJTFvVNlzgON6ymEa
nhv6CqPw4ZDRY5gqmkkLMDSVJXW+sYeGSw/y0cJlw2/+cRdjGL8j5+41D8rVhl9fT9sR7NepSxia
GoNkEl0oatfpGiKmPCWps9mr53JiOaWEOaog3EODCA87Co4feVNu4zCMhDl0A4gWRsMICQnCoGcU
mzQuXcYNbkNj613BMaendWRB0F2GKKOy8qXJTIqrzGhjZZN/CFWoc2gwPbX2IAdwz0gZnfCusYsH
RiQkDVsmFx2mHe1aCWwRlA/vrUz6U+7TlBJxeY4IXewNWgG0xVN35JJL9h2y2afkPjY9gZfGLFz5
oO1NAA305XFtSrUcs1Pf34VBAlEwyamjtxJjC1RFY9W8zlBkmFDniFM58hq/9XjuZ5So3KgebpkK
IcelSZP/dHJaj09DUPtDfVWhGpMkO9amU/cfxxrSaHi9UTm22Dd7oUxRJN0kq77sRmTWdkG8rj06
QcmSHMe5TeyAaWKtWgQaF7d3hh2uKtBdryPljlGE4k2tkvt1QsvpU3TqUudGBd66PyegG4i1nugU
bC94sjufWg7tj7FFG7K+iy1bQsW5EOytQFZH7bWj/gvp/2I837MtMCQ3gutsBl4YMagPuPM/OgEj
hXESr5nz2ADUmXcmotvGweIb869RPsgD3tAuhGulTnYYH+HCtA2n6yH1shGzHY+OeHk7wZdJrplx
mJuvbRQlmP1Zfs/vAsFxcPy53hIzrl/KLcuGge0G2GRxYDK9dUHF5vTyVkyd48cNPoJ6kfUAezAX
mc+2lVQpdRG2XH55AuOGBJL225lxAnkYyOPPV2RfomAQ5QPhwwa+Ayv9Ny4cqUu/5okuHoOhIp/C
hhU5DkwTilFAIyzqBb2J56pl4Yd+53BksH0lvz6Ths45Wb/GwvaZItpe/zLxTtv1Tqc2vYBryxyg
+H5JtsSCdSOirTNtDurleTrlpF0g57pPJ5YjO3EXiRlqiBXf9uf7vUQgLVob5EQgfwwvQVK+eAEY
dnGFKtcPSqjuwZ3BU4FxwYAeJbwBspbvNtxkaLFjoO50UHsHWp9j/98/X8nFKBVL2AMOdUy4+ULC
DS5p+RaQ3Yj88vQQ+qlmwTmxCA4w7y2J8blsa05sDso0TgyEbCPvsIYWB8/5Inuz78iKrSSAKJfW
/H+LtMK9zfMSwL8+8XeiFYXAu+2s+/Md/DqgLTcA7GYjaIi4FJKDl2om0YiCduwM6kGdmF7VYEKj
2UdlRBBVKTp4fxv0u5hF9WzZ9nB/OEYY+TH94KI7hQpBjhi0Wz5o5OC7H1rXaZntrBMRrQhnCmv7
1NBA5XT0gj3MsQJmZWvQhyI4clk5I8Pggcj4sZz//DR+ZbSeri1iWUUsL8ZQmb/+NSJVXdipcQjV
w5x4UhTYMEv1sscAc9bIJZMD209liLTRW8hc9F+//reIaKMahfeH8KZZV8Hl/BjntkysB+MH9rvA
w0nM3IBASBZpA7QylggHlKQ/2+pg10sttYw2xMX9tDo8GLfyyQ+3kfXt/IZ+NyO+nZqY0bz0rsen
/PmxhZeryLcdW3j5qG15NjZqF88tdqPerMxJP1hYq1B/nDmAno/xJNeFoSv0SAZ67Kdk0gJvZmTu
3F80DQImbgW3u5CrAwq3MVsIrWLp8YkWPNnrCe7d8PNsAOElr8IzL873DtAkhO5z/pebsZT9mhKC
SmzDnvDaAT1jMAVpfedoLKGynIMmExq/LTQ1iWLUaMJ9iGF++m9D1smLj73TgMgZd2Ayh7M87Wnl
S1bZKwqucs0Cu304Y+3e6bQPUA4hOyEJk0NArQOF3aBsQ1XXG/yaQxmgMXwy85g3GMrimlnNJ86e
2g66xfFOHbXal1bOlrN1p9C8IauGR4MIzEqTnFNbbzDkWieqeCnSEQLLRgOKz/SdEln/K2X7utXX
mc84RHsLDgkfjTY1oFcK+Zg1hA+6xCyoBBwBcRy7/pPJYCXGPqSLcIWf6E4xgX1ANib2IHm2ufXd
8+CaZbukBouGPDc3klmhZiVUOsY9IxKHM/5a1DFpP6KMMghZMW9Liv/nNfhbKEbmGhA04GW6IZKp
l3EFEpZvG3gEPhjEPDaNSrUgi/6SBWQ/tJgBBp62ANNsrMAxJV2F9RwtUqt2BeqP/c3/LU83XuC4
ImEY7Kigq5ohgy2rWK1iyRE/xZ9j8PbjCVr+y81cBiLCIkGAhhYMeyLSZViGde81KY5QH1RMYk47
xuxnhNlcpOXyfne+cKiZg3+IMyTb113Xm5IktafU2WPt8Sr02kihkbajtKFiFGWnj9U08r/TTHsB
7rHLSMub9jDA+EtOIlH8fzkIfoDESYD8dQAKY3JC/hpJDcOlJglV8QGebO+1h2iyaA7AkA+YHkPG
Oo9YAdUJHf7zo/stFMkcDoNyhE/bx/nt4ouZMDUQv3Lt+zZE7+Md2Ip7s+NRCNDIwhKI/vx9F4p/
hDs5x1hxJIQAQ/7/Ie88luNW0jZ9K3/0Hh1Awi96A5Qhq+gkkRKlDYJHlOBtwl/9PFmomTjNnlDH
rGdxJB2ZKpg0X77fa3zx73ea2x2eUbVr31lZr0C5sU3U7GeM+xZdz7lu2z4ElSS/gIgEcI4rc7jr
uoTjVB2lapO9vrFkWTbkVla//MZ11yQEVVG/1We2wrC0SXc5NHGU6ctD70zssoERx7jhN3pllUdo
py7T7s/3+PFlMgwpchzfoFpn9/44tWYLChPRT/IOroWCgJH3dCbIGdh+ccwKQp+V1+6qhAJ//mL1
sv4+inBHcBEm64gtKVKY2f/+bDXcTFy6McWd2bMF0DVFbaZ6BkI9MkwqVJd27cTMWDdb2LjQUjb6
+58v42PB6bIZ2y4Dir3x/yL7JJMG16U+be+2Yxq/1nkVKDMUHgXVrBTZKbn0CWYnUpc2Qdeu/4rK
eJJ//flSPi4MLruVRZGgZDdYVH8USpssWSn2svo5bwu1kcKJVKAzphwM81Q2nDQ2HMhqXMVj+PO3
/8f7oDTyMLbEQIDzhv/RpSGOnMHQu1qeljxBcH8zrAPFhJ+APSLvUNKf1+v6gsqZQbudo/98DaZ6
6X8fFB55bpaSwkJCYEx+tAUkSqrKyDEaz3U3SgJYhKtX6R77RF/72STSrOiAtTmlXGB2xZj/TDMy
bukx5lWeJntvhsDGOinnzH4rY4S1CeL6S0sxbmZGV+8MCseWU0RTfLsn2bjQWkiCAh157HyXw+lO
4qg0fuubVpTNYR5Nvfk5+KBO37LKV5tccxFD+JearS5xaPzewJacyHAZKw5Na7ooisSUDqPY1d7S
u9MOgJO9989P6+PQZQVkL4GyATsOleDHqRuNYM5tXmbnMaeFpXTUqd62EJmdWUf+B1hcLjtpkZ0l
glFL23gBpiixVbtzRNkTx/Pny/m4kngUirrue8oVELXqx1blVM8xVphWct7ObBsvvt4w7/RyApnm
SHUX//y1HzcFj8HKgzAuYjH0MB/W6AbWJ6knjnOiT50imiIRgvrn4qmdIZmkvPlv5Qhb3b8PU4Sg
zBT8aUzWLY8EnA9rFw6gHYLLtjotUldiopr8t/llJSeJ0x4golvMAF2kzo17AexDBVINqyrtR79S
RbE7D047hvEMQb7ak0GzKokUxnwswF1cK8WB3XYelRlKFBTdu0WSeaKFmmhkh09q2wA00z2RlXhE
n6dw4q3WzFeeVhdqPg7eL2jOFA6wtafhZCt42N2O8BsgBranulVSthH/aKNFjCUmW7SDK2OgvPB0
DUDQ3/g1Y6SzEG1CFSSo6kYSupf8pCex2pmu65ao0jyLA7xwtSRCxK2oquQdpoUR9tLp0u8bN2M7
wAhtZt+++q4R4qYuSC9oeKL2SARckhBixighofmw1U5uyzEu+XQtw69nCMesFayVXiSJRmEVVR/o
cDfqHB+tNXZehwuJsWISrB64UlTlb9eRAezsgmUI0kZyzKriviJZipONZn+LF5tWRZgtWBwvQQQX
LLqN9NxPin1S0vzt9zIbl/LTOq2x9Y7VG/UPtlBKguTJBR33sWqB+Uji27iKQwWhBDmK31xOMEsF
uwG3VfT2d06KJfDLYEG0KkjWzqETXMEBhSyoqFEDE7EgdTVYpUFh05g1gmphLtOO3gh+hYi1+cbh
0DWOAQnh6fRlWlF3aNcu98aN3AhPMNjU65pp0fK0N7xwufS9F39RKygqVVGgh2lXaEWttGbeMUa8
CrC+YBljZZYOVWezWKK9QZqO/CWoZ3gEdB+3booATeJfmXJQ0Xc0nWKJEy3nYn13LdEzjPTr+mlt
CDWf/zeJz1oBZ8VFL7fp28BBaQltTecyamkIMCXN/pvXZ53ztEI4YM70iaa2pCsDU670LsPeKVVX
h+62ogqm5qp+ysSgUKNcE+xt4P2c+ceadgq/tZEi8Erg4a82kDpkP8S2sIE2hdvoGNSc0jZV827c
ZGXXvne0CBvr5dV0p+qu2JocG5LhNKbEP6PTu5zVdxhYIl42Bom8gOKlwJz30UcgMxzqtFrkborG
QRKZNDnROYeNaeOpQPfthiaM4pXmnqnAT/vSbKg4pXCZ2ylla91cGZuWNw3jo4BxYaOGSpxYf8Qs
liNrXcE2+C1qSzEjNvgbCoakuursTi0/xZLQo6PlqKa/ayWc1LOxZ1rQalzwlQv6FJ0eFBvBxCdz
HTRjxEWow10ZVZVhrP7NtXjDNwjwH4Ku40HknrrJJac5VoeWibZv9nuKoBfIfV07+QCQ2ZtxcQtn
tTXwnZPAy83OseachB0tHizK7SX2CBm4j+uVw2jQbSwRuNZqmGmFNvPBGhJufrqq/frOYWlJO181
GTLLn1L3AEskGduQxl7R70vCGBbiDNkwfT6RZ9N8AlIrOxLloMzR2y2XliG9NbbYxlnIqA7VC9jU
hxgs58gF/NapLULnLwd9d2tS25tWFu9UIABH0+2oCSq6GhZWkxsjQatJvLrXCeaCJdjTKf6K21Kv
pICToxiGm3524wFX7CYM5tXSbFu+bzCQHBnixm6sRc/ZnX25pU2W5TADcSWCR+HvR22IJ1psICOq
hotL3kci6lmdiK2LTGFM1GKfO54iOWyT1MM9yrJVS60piqdk01dupLwrb2tTFxIbr14voQrkjC1D
P9E6qShtx9P24jH6kAA2pLSyzpUZqlvoB0UmmrsOHdUc7UzeamTdDHBGZrI/LxdkYZeV7LYt4wr3
uptCdyP9b7tcqiE9eqEhqW4rNi88960nsybumt+MdrHkb9srAmhUS4ORmorLAvQ5Q58g1SCp/9pk
sixMNY+WfV4dI51iZZZsfdgr+2vcVJvLtloi2Rur5xrw2/3ZGIs1Hgu9ZUWQHAh67JAvlKOth6UN
rcIgro/QdiYOiNFIO5tv8x3VkRsuuFk7VGJ9h2VYN0fNLArf32mt467PiXI8QkN6odWU/qgOQbHX
s4agLlYa195covV1cTEDkoF9Yc3NMYktToAuFVAm681corchcq0NgaoV4JgvOADzORfZK8I8dbbQ
lbmRgacJ72jaaHvQ8pb8wRK1bgwM8EzOy2HUBULJR47+k/VoiqzWHzdSnIdmm115sz5yc2Rt89Na
AOhAHnZIu0GN69rq+XdYePITGm/GjrzMz9o2L9jh5VkJOQJbbb2K7V2bmEE5J+ak2vK2kddc2F1U
u7yppkM7crJoNlFxJwjT7NfGwMDh99JkWDQG2G0rIO3a20vkyO1uSNvWgC3NxM3vAS5Krn+hh28P
8E1w7uKaN7sDVjaudaPHXemmtbBVYbXtFdHG9oUh4rJTDwIajyJLVj3OOYlldVx2XS9KuTBkaBL+
D7luaNOLAH0jiLE4qSOfjyfV9CJjS62+ejIpWuxGZrwSz52NhllvjLPUpj90TwolC0lSczL9y+mc
rBKvaZ3RZcXhprec+FrFbRhRO2jqRcyXuignO445Ssc2gqsGaZN/VM4LOlBUk1bNWtTMnD4Ik8k8
vwzQVtF4DuNS8zoRbrR72YzqsIMWtug8/O+nUWBYf+m3kiqnMzP0JlKemtfTO5JrXncuDQutRN0P
xZ6q0U/sBzaIEoqftRJaAPnUh+ENcZ9+Frj4RhvNJuQQxjmtCKF90fWCH8XosBIg3ETxenBkbCz9
HTT1HirNBjxft0iwCIUnGP7qE4w6dqXJdQdXRg34hwJBe1qp6Fg2wgX/A6W5v2BoNtx92r0NTuSv
5sqLpvd1GXZVOfPArvTw66qeL6rjeWWgEuaYka0yAT6+xFZvM0BiaMSQJMRMXa012eX9tFfW74X9
AoaLT+JNiiu42mdQqdCwQw2ggKfrbRAFpEhS8VIoaUe1eQ1olkWl67udT5OHXD01gmWTKTSZzAyF
XTsXIGG6aMvZvNUQ27gO9ki/9nDVtGyPvK+bgtBGGJbZeON7GW2Htho43lzXWUR7Y/NNj6j5bi0S
q5oRGjpSQZqR02r47AKoIdh9r2C7KVK17HkXpmzb+gqVboop0+cnqASqjLVXQ0G6JlFO80t+Qa/X
uKZbsOGYWzHYLwojDso6qwwjnNN+xBv8unuNiWMyECuYGjyUcQJJfs0wLr6MQEcdkfzVVH/EKUEJ
lWpHc2X6ZWYJp+eQotxQQpsxAvg3Jl2ReUbX4FXB3GRHvRLhNgG639dK73GdhFv379qCp4HLXStB
MxGRPVVff7jeGTufeoXbrY0RqUkQpbZGl5wKUXxdy8HVzyLtFSVlI5myFsvs95XyidRBrYGrV6h+
IQcBtrWhYXqe7CRWf3IdiNnFAiBHYEpHg84I99Wso6r09W0TpOXlEeqqwyte/rL1TLFLlxpw8oUY
yKh7ubK0pe0pKYSelFUdH1rsjoo3HKTUeywvzTqajwz/6xi7ws1iVZ2BokzVMeLKN5aXJrk99KxP
a8ok5zUPi+ChXsaVp9eMK1ZzZgQG0epCN161bbe8/yU1VYm/+XBsdCJO1OwSbrwm3pemmyok6Fjv
8DyjJFUqfApLBatmm73xcHHH0zxaj3HIiqc7nzqMQ4nMWKkG6788o7E0rPc0quwF92ymt5YWdh8H
Ccbh9vtGYtlk2VTxfX8y5qR5c8AIZLu7Lrt6pshFBlI4Lr9zRqWU2mq2K5PFI66YOcusUi0L5HY5
a6JmtaK7hac0jl/httaMTsrFlhaUcaklr0QNCKcMqm0/1G1TBYVeP4djtZIjXenqHHhZW0stVz2P
K/B15f4YrZ5F9c2SIMgnjVmnSGU5ufSnZJHkkFozV3GatqKpYdYzQ6+yvVG7+L+122KCAEiR6sa5
LrnOeqXzQAKR1WKNGcyd3/qfieRWg6DCPtntKbwpfR/TTFDmJgOJMqqlN1My0f4Sbc1UxS2BHemq
InMw0+f/ujiFQR7ZKuc6JE3b8jqOiH2FVPNCVIM2AeSTXSQ9V8WUgdwaHvf1iIdaLJufiTX3Z4ec
m3Ugrjqrhpl1INUaaI57Z6N9NrmuuJDb6mZ3IBFd2BcGhtL7XHrAlSFSDF3edzDGtDNFtxa9bxrE
FZMDdspSo78G83dh4QK1VJN8Awhnlz3sjKVMWjXHzZBmaVcl3tqsU3ISsSx55MXjiwAKdBmgZJeq
+Y+rmA1/D5u0YlpPxUqDdt53YF2l+0gYQhXb+5oU81HuOmXj/9kloPy/9XmMf3dkoy0AOO/Y+J2a
NM3x0f3Q+h2Q69uRFScn7FowsgxX5OqAG1GtZlJXCbUULJJ3iPRyw4MIS1PV9vX+Nysh0ojVpLyg
fv8/J18q+BQg8Q/Jl7+m3/VQvRdv1fv/qP/u3v7q3t7r7u9ZmNdPuWZh2uKfjqBDrhtKHaebPq94
+iX7f/1Dc9x/MtcREVumMLApVraU1yxMR/8nXpRgy54ickBz5bJkPfTJv/5hOf9EUA0PwMYUz0Mk
aPy/ZGF+6HgA9NNooJlImpYFH/FjiIvyq46GerVvF1wJPGKLCrKNpWFyBowiF11C10PjnTTZ/TcM
9wN2jpeD7RPECaXBcrkN7yOCC4mO0sXoULralXHL4+jqY4dHTBsuCWJGmrTuTL+bpksoTVMokn7/
3xDzj3wZU/lS27Q8bOzRjf/sa0N2EWU9C3nMs54EYLOmn38gttO/w7jA/2S1Y/FUrL75a25i/1jR
E753lzo64sXieXsi4odm97cR9bS1Wv6nGson0KRe/usfH5+LoCdHA0ZgGAzz4T/QdK8U0ozwsT8O
nQchGVKDpgWi7Wa2M6/5XrtjEdEylx2h8DMq+ADFV/P9z9dw6eP+rQvEY8EATngu/qBqBH5kXk2x
BxQlkxyRq1uOBx0TtZt6Fc4XCGD5CeBidg5kcoE4CDAZhTs02JxIbHTIHuon53ve1e6bbWePJSfg
HuvTacCC3zeNoHFWsgCVeIeEieGb0+CBHBa61RZESsUaJijFkPykg0F7pE8LaR/gbi16IFLhk9jc
eY//5V5pI31oJlChoeuCpsWTx+fxYwOjYG3t/MY2SFZAsoVFCOd8Wsdd7CL9dNxPdaXjcyMZSndi
HBE51XiBRHgJJlUUaGZup2EH46kPiWlJbvTZyh6bhBxWLH97I51JO5grYguqlvdZFujcT+Niep9X
tiU+JbfdAWPyFkFQSrmvFdFnYzamn6ZmNN9Fbcho7wk45YGg3H7HegddS6n3q7GLkZ4Yu0bH5OhQ
k3XMzCVdhlNnRVrFjriSApZ8zIn2wdDS8tsy2HFxk0EOMpFN9d6t2ehlnAaOFhnPlPc6eVZ5aTaB
lnVtSsQ82pTT6ifD8DVyNK4dX1f+zko4UX2L3kCVnnSs69t8XNLyvS0rqKF4YIxP1tQ6Rki2TE3Q
E1a+Z7+E+lWF25fg6MDd6JNv9W9xnfXvJa6/+bc+yqNfievYCZT7LPmLfXfgCGBJ7y9sFvOZjPTJ
NMMJJ4T3ISvBhSURkViWaGbjhSvEhQcQoDXI8YtLCFu0JLl9iBaK0CDs6TseIOK5dyl79pz6jeaE
DMsqDyVofRrY0F5fkfC4pISILoGWMydEgfur7IPeB7w9IwNdnZ2M7Nbe4SiQfIYmYU+7Gfi9pKwX
+HYYJB01SEyHuEXHlctmX/g5goXLBEXrxxOEDDN1hxwdSXpOOIWZd4sH4Srw9TK/Mzq9MD6buF85
xwlvHvJwpaj3TjYVdy621GU4aVQ856Zalm/bm04posedKmL7AIpRkwbj5XvIOeVDIvw55FNsQDA7
1alVtRiq0TwM8Oebms/5hA04jmnoPgICQTzglFKNU7YyNzqnvsIBJVSE6dHELzcnmsKyBvx+qdCC
wYpyO7A75VNta4WZ5wH9Vez08tivkuelJAojoKZuvxlYvcX7hHUDR4JpGpebyM61BXpm778OhVW5
uNsK3Ae3TWcLU0Bh4Jp7fU7m+c4c7CX/NkwUyTsNJMrcDyORMEi7ENXd1qnBhlW7C4uIWXtMh6r3
hal0BatPqi7BHWYYY4tT3yJjlNWXBQ87CRTic952NaW8IwlOb04s9KCkaSua4bjAH/qJvUy+7oqe
ZNI2cNwEAPWAc1Zek1zgJO5dTG8PTdXk9t2nrHXj6JsfjQCDXkc21mGO87G5IVOQEWF7KkUC0MZo
WhtlpOMQ+gwbbyDvVDUf8IrRqpMjqTHRXyymgTFNZjJYOB7mB8+SU/5t8RvTuql0OyHSByXqGpI3
yyOl6TRMYY666ZkMElaGWPhlSQAmWvU9PiADAcM9pJYQlDwmcyTKvepZue+VQeH5cfqpR7YpbnpE
3uLc6xHBStgv87UlANMQMml51GBKwr/zqqay3paeUfvc0vTVvlwmL2aycasH5CXTJcpyJTUeiDxu
g0GfO/NogOz7YT7q8s6YefNEHMvIDAuYmG9m6saQpVfMoPccn1PzR1TYEb3WqLMwaTVRsOxs2fOC
C3JLymf86GeTXM5IzEf8f53+zSN3TO7ylc1M3yNR13ERq+bBui8sJD73GeY93mtjksIK5LnW9Xom
1Q1/HJc44zrEQNa3bhfPY0SUa152O1KOWGistixoqTDj+QP6cf17zjqOQU9Xlrb1qRpjNU2sgmGT
ZgP7QSkrezy3fe83AUEMvjyb48hldxhh4WKBNDL6hjDPi860ofzoLC+RITY2Mhn5QQ0PutUUO0Lv
R6RL/H73RJdTBy+4vAtH6M331bDZczJ4TU2QE7L7Hm0XcGkCFJUZNXhEWXWZPEJU7d89zWbkZ1XU
yCOANneFJLx/t7V6lQ8+ZL5un3UxG0QiregrloV+EdD4yrNdbI2mvE08rRzDtfUEvhMFosZQ0CbM
D7nrsdsMGQqfbwaeZCUKVjE1N9sUbEcOeXMWMQPrXnJUKaq2f49Hn4t2wfyGEJ8f/27Se/kOk0YO
wSjJ/aLdSf5EkBot12yjrPEfJ2nw2YOvdjJsiQ0zHHGStO7bNFvi/ThozNw5YgV7Sc2evwnbLZ0P
ufq6CHuR8YStLEv9FsbrUYU3uFxG6Rji4Nwgh43ZvS4FVUMGXbdDUsfFbTuMT58vZalc+/dhXFl2
JnfQWeEaNytfG22p+k+DpzxoCLeR8w+EZQZayDWZ4zNeAySFLZhLMn2jPi6sYJaQ2283gxkCyqWR
hG6Ssf/YlRToAKJljAJTT8gAp5GzdPseB9n8YGYTF9EiwU4Ojr3YeA7LhScvu45nVOPo15yWwVF1
Or1fJbVOdAOuSTG1X5F98Hpt3DgQodsGP7IlRYSSFk1j31SgHdFhVZ5bt1kGVPrFRoQl2iDxMvGs
VjpnDjQnA9u/vL0+UqA0zDXRnGQ7GmKviAfxTos9zT9gPBNFB1WgswDrWBCx9KEI3cU6u04YCY/r
xA1t4PzZyIXV0IWEJ9YQ85z+HRsM9s1trpA2yKPD3Z8ktcGfangYCC/kGfdbJma51Nx2hSwOHdll
mNTzzHzKbb8QsI90QSVVTsw5s6wFXVFvYcigq2AtrrKYT+7tgT8lV5yHeBmEfplzzXZd6+wNUcsM
w07L2BEy3AtV4bE0tFtHNi+rrNuNZqslj8aYm/HOMiFhnJpF8GHZ1M8G0AjZJKFPXvp77BEV9yvO
bT5+cvLIurXMjDvfiignFQzXhPTS77T+/OaRc3vlkH448L5ToS1UdIkBZFgIqrYgAmE1nwU1Guu5
GpLFSOnzlJPXxhh1upmpp84FXcmwBsDjezqTIMNwsQx2z2Hy2JOgavHKsdfn33i2z87ka2TJ7G1n
LnjZPW6qyQ4HBGzEuh76/H5b4uTsDO1XlwBGNrF4dkfgpcib7jy34mUUhNlbtwLidoNdlFp0jdQB
R2ztaGy/ToXWfI/bmBW0w8zKDDeQZqQJgGZMJGX6yTZKy9jLobLaU5J4lAn5kPNV2xUmnMwinLTU
Bl47MblzCC8ZLREOrvMdNiRR8V7FIEk3OY9bfB8R+Q5vhTZm050rY5NGmtPgn3puGmJaUMarBZa8
o2xFdmmUxo2vjzBEXBzvshTL07LUbkva7c6rBZWB4vpSNGQFhlz3fUwHfr+9RXvFEf92TBv7SeNf
poeZarAJCjy0ypAI7IFYOs3i7nKInSElISu6i5uMF7QGjlD4g6YsYDS3c8akHqkJjNNcu9PK2HqJ
pkGcDIFz0huybxzAQJqjMwMnaUNyGXKfkqJ0XzDJzYaw05G3KSTLvxupeRnoLnZgAegjI7GqXZnd
FL1vv6C9NmANxJ69d013ZrqLrAmtJloxzC2rfN7F1aJWP0KAnKM0iS07WEZaFWfHKABhLVvyVnSg
u/yb6zqdPJIe0c0/1ljvqy++OVJwgH8yGxs3Zo71JJmO6HHVfhXRb4uCbpoZeSvVZUS5lSX92QMu
647Sw0uJCme1LYrJpe33dm+lbjD53mwGwsLsgqWotRQFtnQyrgvoepEPSKekQciFmkmRWkgWd+3z
X35kMh8xRKX21aXumCflYu7tsDLo6cFIXmPAqQq83pHCjwIGHkXYdQu3EsJri1ozYqUzm9Ow7Cdu
Vcg8qg6m1ZjPpBW2NulzvjuHsjVG70zkXXGDqKeD5QgqOwbUV9zo0DiYpg12lxPohDCT/QojAAaz
rZfUkn2SuufaKNendMKJDacYh7HfN30qQ4/r5RSFu+oTPWKfhg1aDTBhSqrbGZNuM6TfYOP5txJI
TYAX1qss+q79VSNkjwLZZCUOtankY7dymNbBxJ4K3YL99fJ1rt4135tUkXpmExz1YLGzR4EtCdc7
2PBumP7DmB7tOWXNEQ1ZxJ84IfPbAvMXniwOf5w0oQgNISuD59IRN2f/ZlwHFiMti7gZD5NLEfRl
rfahiTNr2BJayrIH3hn9oN+EkCmgKkjWY9PhnR7i0lBrmJ3Hsr1vZYaQs7fxaH6KJd4a1KoWwkP8
fvE1Cw2cd+iCwUWlvsEYzT6mVUr1Yo8z0Qvu7M0vfaunx3GCtXIfOTWDxMI5cnngfbTz3sW55Uhc
n50+rnbd1jeO3/JXik5SFziILHa9oy24LpORNhK3GpOYt2Tqfhy7oBQ3s5ljxir6ur2hfcrvs4Bj
XJsPXfclGQpdvAL2jWsIw9y8R/+g2ScTxk50xmee5VD3kuZ7KlpTf9Q81o53Qcsl3sMH5qtdPeHV
5Uvcfjcw5QNyJwT4ncFCkxiL2Nk99+Po4zSTSC+mTU9CwmGksfW9vmyuWx8xSdmsgxb3KSvQDFyu
bwx008+NK9fkgLmvQWAnXbB+3y8dLzdN7Plpq1yo58QUguzUzkFC5ho/a8CC9c5e/aI5JpjdMVDW
kZps4EDE2RJhkjxvBx88cBkXk1ct852GsNHkpaot1+C6u13d6VQCJZmHWEU6HT9Wc95bX7ysSMYX
f7YZa0VcU2N02B8zky4V2vbrpYVRcIpz7BxT6GQLK7/bdHw0renRuvcxa0XRRxey28+ptqSgNnSD
9tj8atYRYp8tdv2KBeveuWyyyZDyYPlIdkBopExyQCrmQe5alJDW0DNhC+VC+UJQo4OQYijchUIK
o9y9jyYy+oa3LdBMteT1T0/DFTiEv8+K0dTCgmqmdmIX4hjn+tWb+3fypSLzGQ08SwNYE2vs4KT+
3VZD2q5V+btmLSEv5wwTOzBoxv/UXZjup7rr0+MAVmfd6rlCYJLCdcfP86W+nBu6HxyeybcMMPnm
T4Ulhuam6nT17CONmh+FTTXuow4zjftkNC06/lbG4R5HbhkS8KD9ijINcoXoEZhhRQV8A6zV8L6w
cfHMvZwWxro5CW69waqmDo3cTKNdReg4UEyUVe5dY6/4oozpKA6yoAoCiIiz26orC/3QtkAvN25C
K53hm5lYF+Nc3O16q9WrsEvLFsKOJh8WfBjPZUQqd9CtU1XtEWAAEKKyp2rFo90/zH1h3tC7bL6W
YoQhquETd1dacfpguhX9PLaW5a1NKdUCj4BxOF5RtEDpWelS9115K1tCknYFg5SGGFy3uwTwFZ8Y
zcZtxyrs763p9qibvDPUSvyWMW2Z36bJ0GMopyU25PrQhth3r/HJ0731mJdGdapkhGPpMCfVjgI6
eQClKd9Gw2x/s0Ph02G44qSozCFtaPZ50a5BC8YI17GJvL2fZCwScPDBT2u/BMni8zD3mAW8wyS9
n1ldkJ+U3hcS1OSLhbXWGZZHdyCvvGVLcVtqrdzk7C3d5c6Srv+GVRxRgn2Px5xLG7vYVxIhfFBP
mHACYpBXGXiSuwG4kUkIPoMfbBRXZ9Fi846RTJuuz4ZJoAhubW132wpSLgLPgwnYG9K6ccnboY5N
I425x7HmHqtH+QWLwvjUMtxziooqu9NG+VmDNu3cpA6HUhGVoglS8gvegM+j2y53kz2cTEPcDvE4
scWZKzL/0p3nwCnT5F0BSfOuKLT6aE9D+qDN9RzAzEvuEGtloZXAZNiJujZZ3WTmnrVutY96PrRw
jjt6piO00oASWD6J0Z/PwC891SqZUPd9JjwtsJGRnMjWKQz0ChKcqvNeXS3XvgPXyu7AsiS0vdMY
5rGGaRZSgMYvzP5hh5TMzdl/2sK8y0FuPgPgVo9EJnWPopRzcozR5rLlj4vK7CJqZKdQBZY7eFwo
Pkzqe3ciTguO2ms+GvHXGNPUV9Ei8Tn5eaY/klEQ5UGfR/oX6O/TQWu9YrjLPNd3Djkr5XTgKG86
WFp6zXmI2lYQajx/KZY5f/UJjvSO3Funs/R3ywNb4/LJQB+ZY8/dZU8TKYQVhyR8t4EYoBuBnDbD
7xQ20NFL7IbdQC/8QPbd8NIOGBsF7uRW7+nogJpl6Q+zN7tDmWYRDlRLL97SMTHvobavwAGN5bxN
wK4TZs5prx87RugJc7/payJ0+cuOHOeMWU50Qjn30tEJBieNR8vddWk/cjIs7coOk0ZLzqgihh/D
iOf0juwu4xPIsk4sCIxyoqiJJAwG4VtfImctb0ZyjQu4oyZNA6CdvNrDkYrftMwbbs0SEeHeBT3f
15geonR2Y/M5Seeixvzcqz9JGdcQM0FMfjTCZ40zIWMHnFQ67Cum8bvp+vWvIp5cVWH7xcmFL/Iq
u6R8GKCW3etY9L07EbhbCMgzPU9Yvp6NFVEqxBGzlqGWWW4UYtuazJ9qy/lpZe30sHalJBm8pHLF
snEQt5hj9/i1tlXTHdlH2s9CVta59N3ik4/rwlcNqyJOw/38GXPM5J49QT5RKUUPRWf0T5qn0yRJ
xkR8RWIGSzA1UjEevWqabibYlr8z3Wi+ZF7nhl452IzZemr26DwZBuRfnqOpUQeDlm8JnAz7bey/
a+ONRiHn2XZ4TTRIKSGihekHUcpE1CeRub4I4CyIvk3ZQmKjc0IQSAnEl1SavPNGPd0jaWhu415i
WtJyJClvIhjKw76k9Ia4Igz/yXTz8QsEiBmCMyjhkRe04ue5ggiTJPWpYL94FlpCJU3U3Y+yJbAB
EGrxIMXCJbYCDGkA/jVtcb/AY41IBKDrsIapZzuP0LPXcNFK+xbLl+KABVqV7wduT2XZaK/OkJ9W
3SlRP3szuxHORJB6bfvZiLz2TJKO+bxai3ffaHF917mYiO1Tz00/p3HjP3Oyt391s4OvlK/PYIlR
9tcQUXXamfjMABx/05wpAjlCLgkzW65na66q5wyN31uqWX1xykuLFdRnruBzpDnlg6RMD7Asbg8z
LLh7no4IO7RpA0kKZjfspcsRxXQ166fodDoNBW2AGQOXdlf4rGh4spe/beqg95zcje+wVJYl5FDv
yF1qjCINnTWXqGn9clqQ7w1YmRPJMdxCLVvmzxURPuEIBfCZ8013JMiI+Z8kEx4wTdJ/MdrG/6TH
WvQ1bgsk+o7o12NvRmUbOklDuyl2Sp0B78FxJxlLXxHL2834A+O2/DmH1kH7ONKzh6n2uq8+CM50
47oJZtnmNH+FzjPXuzqhoRZA2c0weDe8VXBcKDCK1jDLBgkVXc/fNurkk5F57cO4yPzRU6ofjujW
Ua9dL93hCWkrIh9FAgiGYdxY6pHS7yvy0Ee95gcro/KdgAI3PdABX5p9FZXG71g3kl85kQzJAcNw
H2DQnqDqe2m1SzthPMnCRFfURMZpHpLi8wAR5C0BHH2CkzTed2VTnAVT86zjlTyF2H9Uv72+lIe+
m9L7lAbYrRgT7bGDZf8KsmLfJ5h3Q5Zz7eZ1reDcBDQNuzP8UaMhrqhlh0/s6MbEF+LVGmv9NjLt
Vj5yLGhAy1ZJXEPTPUTw3siGyKLsK062hX3Kjb7Z+Vi9nkdzNNdQ+Qq/SjxNhn0POv4ZO2HvPFj9
sKOtR4m2MmpvrN5r589wdRdlrLRgSAMLZU97Scizw8m8pSOFozIbyYADvVIq9LMb7XwzRsvOGVN1
M+Sw62uSlMNadPLkpNP0eelohMHwSt80lxFt+nrmB5ab6flR1Ov64qWd8Yjm5ICq191JWP/UbVn3
CGoAsmmL/gZCaPnQcD5g4M700SKts/dxUpHbi5sVDkpm7ARISIwHt+jbcz7W7E39cCSE0vlfrJ3X
juRIlqZfZbD3bFAYFTA7F066CK0zxA0RGYJaGIVRPP1+dM/Z7cxqVO8Ce5dVoeik0eyc//wCZLCv
v50sTx6HVBSXad3MuJI10aebZl21teLcecAvJnICY5n7Z3zEjavGdsstUpH0SiNH+N6Hbs27jphf
ZiXeZ8RpBlZc2Ts8b+WFFaXVnvkVPkj9lB4kEtpNzPAHIdiknY20l7t+on7ELho0mHpqcT+sYfR3
1dhIAp8HJFH7WFTWrVsJjps4VaWBTzB8iwDfLV+FPBhFNE7rjsEk0T+SMZGpR4wHGz+0UaAEdiza
fW4aoOIuLAlntLxrj1IoP2RulxzYilsnjGnFv3LsML6h8FOnw+/8ybBDHSBpR3eawymV+LC7qjKt
e5CXor/NfOGdEaqDiiamO3kFmXK1TRkZ4rzGcLjfYKpCzyDxQXjRmiWDKR1rZlDbuigAUmJs8czF
zDe2xAgioaPGEdKUTykiEbhULoBVCC1yII+tiECKs4a+TagJa3dmDkEdR9UzrkvR1QSGvCuke43u
11lDdUrz2bWK6bE3mJHunNmp8CuEqErHrg+jteGwqy8ZwhWh1ZQvUsPVYajn5UaZXvdKqNgMu2+k
q/SjedfwsDZjpBdvs9Kr77GypjAd0jaIa8O5EEaHK5g2pltetMEJxj6O3U0Wa91TTl1dAKwW1s3E
7OuH1MVwWYDWX3sews+NNAlkCzvE5vJqmpPqtUbO+gFnvzcC9n1n2DSyarE6oANre5Hci5iSPFCx
0WJsrBTu75N9u4xeh6XsYJqBh8sXXLb8p8trkD3pzB5wcU4dA5ZwLh2+i0wlsgtHipfQVl38kLVu
8kBYT3+2IMghqSg1cVXGm1Fp1zkXeT8bdfvldnDjMak9gFnMjGWRJ+yHol+uy9xmNunB+cPNAYPt
QBm6dug6csaCSI/se6Wa8czJm37eWObs7nVqnydZz+6KVi3NXhCCGG/0HiZfQdrISpLQ8Mm12jRi
wO80E8Tb3NjOZZJZIfaV+nOrWhCcVmgfmSmd/nV2Cv0cm2rVB2x6jgyHhWq9wrXl3l0K8wcuLPm7
iRHZjBP50O70TBsnyrvsCmVVF4wc5dMZZcPZ1OZlfIs1AJJl6eBt7ETSeyazybgu/FGrr+22ESLs
TZeNbVxGDAoNa9nFHBnge4PVMtclJ3LY2lQ9t5wh6RtahzJwQXXOdPwFz7j73W2thrJmGrFkHwwJ
jRriY1qdmW2U5CEjs0wLJSbe13mkjc+WjKN3d8p9h70cqOZaU6V8rv3JTclWMimcm6m8SYgrf5fL
zEGKkY/75WHxHsAY6c/4R/5dTZBkVGPQk81pvTxU7ooz4obI2WJ2hR4UcaP2A8ylLUP5dB0At8zX
McLo3XAq5LzP0ix/JPMZA2bQgysJ7/S2sxPElWbh3DBk79yNPUYvnqd5r34NEWlTxLMyqbqb4Weh
5zILTeq4T3YgQcCbkXzUAlH/apib7RfTS37CRkmv8T4cmGF1g9zMOYVCH6cN251DaCtejq1Co9hU
75AbW1LcQAJK1zWvseh27nJW3y6RRX4Xs68T29gaw87glQki22wOIo6mc/ohn2EwPIVAenoRMzA2
o0fN9LzrIaHwpMd1o9tiLtWZXgua2aXrzsDuCCUFv/4hYE2O62NIqQH84aVQzU1R5DLdNqJWZyzW
5WVRcvwZMT29jyJC8TKtr0mzVLZ10dQoGnacut1DS7tI1opy+1e79NMvqG7yO6r6menwpPRNOSft
5yLjPoBhZf5MoH3de5kS/LWEmB+tMZyW8lsvmoCwvfjaGDICTZYMdBNXP4KdRvUkbd+7Y+iXPrD/
PvVAZqhJUs1cDxrzusawfqSPT9RV1JPglfXjizYUw8DBQDx7ahT6BWVy/YSCkrxcpzDtsKuJvQyn
To+sDRM85HcYWdfmNrYRBCWxh2SUoe8upbbpNhMneB2OrfJ+mtb4BIEy+RCYKGBynWroEoTGJi3E
OJ3jTLzsCLygnMIlMrlwsPrZ2WayJ8SxOIBslEGcYDEeoI8omRs6ar5wTNWbe0YpDShKhKLFd/Pb
EaJCHnRO0r/4lV8+GjrOcxyPdW6Gra9cBwOt+Z2cpC5BRg/INBCGKDjQSCjbCcWnyJjvXCED0Neg
xLK4ywrZY50jyqJnCqBNVF6wMx4iyxVb6p75tZvEfCjhT7Qh1F5zomJ0+2vCDjEuLNLxSXP7nkO+
n7OPykje3QF6/WHqPQ/3VNeN73RpL9fS9EFFZt/dIwjvgBngRoXADk9m3NQbbAK8Ay70rAq7SQYS
MRPdA5KJwRXiEfngvDTDRY+h4UeUEv5YgGFeejKaqgvwD7yR3WWeMB6d4AlDIpswlfYWPxCzZEpE
SUW8UNqI6yTqrG/HiEFcxtmPPlru622ikVuGinp46xyqOFTh1TnmUDFRLjbGkZuFIdtPQdTHK6MB
F/WVLNJtP9VzfkfDCug3JVm3R9BiPsWNPpVbqegQq3EoL5i+RvQoTkQZMSXDD5qg7tLstUM6UMcV
UtBdMTC/jNEkB8Woug/UB95+6AryD3Q1PcD9MJ+8ZbDuUCz9RAGoh3ZMGdcNwzWTohqWcxtBFbST
2wwog4zXutCu5pRClPyH5EzZ0afpplUgosEKpNXEj8zay7elHZcvNxb+vRHXfiD1PjmbI7roXS3Z
4zz/x8Sh8WK1JLdc55jQbphK17cVhP/dNI2PeeXP51rc9HtBKYSvOUHu86ZMi+h28DOxbLCx8M7z
nnqS7caaf5ZuS5jUKKwYd9+2JaF2VO6LQr/wtnitDdGDoAVy1WV0WcFbe5KChB9qBygSZMBsdKHl
d+Bl8aUiQOBzrtcWkNqU6KVhiO6H0bHP9JFkeOFUznNu6uocY4PM2FCzdTdpJ8UlzszNrT0mj4Yd
+S9UPYypprTa+oMhLtm/mW03egYPpLqOAUOtYB4a0A0iVKk+Z99JDzA/1Hm+WHBD0rl7g6ERnXd6
ZTTo382JmbIxeW9WbI87kwwkG1DNsOiTGJEEcNLS3ZwWxW4w0JMGyjHzG/w53KtCEasWqC7vtktb
d1f2kspH2UFrBFi7QpuK3L/Q+mfSOvHRNpNrZ1VYgus0tLsKg6MwhXybhmVEBvQOukqahz434bEa
4maDpQ5Gi3hlwSCSEOQJDLmz4nHeRi6EzZ3mG8Vz47t8xEaL9CsLtPPMlOOIEUPddg4wqSmvTdQs
5MFL6FlRE7eXmNC5EKHKyNr34zye4ZAMvA/bf6/AxVD3G6WfkN7pJK/TEmmfhTmo5xpYie7OG+qr
aSzzIG0XuZs9oLqNlL31Jcyc+thcYvzRSzWcD30qGB8UBjKXIrXJIGrHN6QnYu+rorhaitlJIR9G
ldoLxtz4yxY5NW418urNkkgjl9Fb0jny4E2yvvFUXxKUaDBx04lKE4ySMFEJNDzkf5TGMiwMCcwJ
lM2zLgiG6HARH+vkKe1L5wqH0+bChJlxlzmpeFBJQyPZYsjwUGR8Y4lcK7/IkZbcxgSwEwfs2MP1
IhPzyRCWxqVW6cWka7h2d32fs8M5SwLRrcmegSvYpcssumF/1lmsYFF5sVQXjTNqr50us3MdukCz
ScaRFDw6y73qZEewm+v3h6bTh0OEN2sgvEln1TY6tTny6xyXQ2qDJA28wRkPcQyxZjORMQQIlFkG
mIGCFIR5q445m9ZEj6XRGt8ZgGFIGJ+4bECGQ9FK6yD8ZrzViQI+MPuinfDtpAFlb8972corjLCH
bgegWKCSRG02bkriVz5JHKzRYtbNmdP2L42bYnpHVFIf9JaByhxDMxIOot5ItotjJwGVsIWTBw4i
4yFzeuPOU+byXWuN+VXCUH0jEUN81/Vq1eEMi33Z6O0Cxch3oiDxh/kGi/blwZxJ9yKueO15Ep8B
MfNFWcc/JvLWio3ZmExdfRyD9zVRndtWtmmxhdTUkMvcKW0Pv04xLbJy79ITpMEHoNi4c5DDUbxG
Pefwhokqng3WoB+WpYnArisK3zBTLOgLzB37B0Kjsq0OwOPg6uLvl1ZTWzpLvJpQFwCaDt4V4IWk
pw3s0iQeu74uVVlcpRxjpHxFBcl1Ibm3xrT/ewr3Xyjz+N1QbyInwLMbBujqi/NPVreeNbKFIi3i
4M2se8But9kSF21c2944oh4yO/wEDIMlMmII8i7trnz7+ys4ejD+RpjnElx8Sg2DowOI5Q81Q1YV
URHnbb/HUmOCuoTIfbsgNXrVIWmFVerFZ/TTyx6wOkkQWBjzj5md9xZT3mwLgKLfFfVKMldNlW80
u58vMnjbH7PKm6sSDVAWGMm8XGDIbiyHv79240+Rkbn6cVKlmy6Mfwep0e+3L8PWiWVaT/sicscP
jXTY5372rVsbBw53o0pcekOL8GFBU2I2r5GDI94B6kttB+OEX+W/cTEy/vI4fbQtwrLEqpHlgv64
l4xrgb7RX+9O82NP9CthiWk0HLxq0o3H+pg/lEbOOq7FXvXVWYFtRLIGAkKomIw/VVcZ3UXre+tM
2M8Zvls9TP0rowXoOIudoXhIdDTIcPVW+sq/uaOM8Lhnv60H31jtV12c1TzLc7316/+0JOlsi0RG
jEQx64jewK/75QyFNOHKeFIBzSVT1T0OZed/Uyw3DwyHquh8ws8cqpuTwuSw8B4amTVRQOtDnV3C
mKxfDdNJyjPmqwK2Xstg5MOayJeCxeMnX8QfM8NlsjhC5cHJGr5IMqkwhiRItT4RvrVJkR0QpuPg
ZB66bW3dUl5632lsaoe8rQwapURDdIG3Pxmkfn+JqMEqwm7o7HlD/PpPIWt5PjHP6jaFmVjmNkJI
+GVJ8yun1at/yYdkBKd/ImAp3wycWR21DU36HXoinPVbzDy6eLqAfubfVJm3xED7ymvz5w4WeBaS
eKVXt/YQ95/ZMDBlJ74W9lnkGOZmbmwLLovM+ZweE576DBOG1RpAzjCwWkW++VmTrKIKU1v4fov+
GhWoKlgcKifK+8xOEqgC8FpgGHRaojnnZN4nGWQtmHibE6vU8vxZ35PVK4tQZOVyheJ2uZwIpU02
BWYKbrjYoPqBz2mF47lwz6U7xgtm/Uyg8nKo9lWKTQiYbA/Vlu2ulz+YpqxKjSplaUrZcW3ZGAkO
EVHq+Afo9UpcmnHVKLHXd7m4E7HEmwUfDApH8uUxwutwsqDq3+CCMq2GtCvfhl/Gb7PxqZh2tpE3
r3Y0UQJAu+o+9dqBmzCLlSLPgoPdF49gwiH87knfUThxpxA7cgcHNLcMqKP1+9eKId7qQF6vVACO
uGP8m9UfZYruYkIO0t36VW5010e6aErmZF2yY0HhYua0alPyOOPnT5S99qhH0XwawtDtZjgDg7SM
R2x9sMzVk6JU+4iXIu43ONeToVyNM+wsSBzsKlSYXDcpexAmlrGB3Vqh0nb2OAVENdnHk+EjZTBq
45MBBlyFiughkBzf0aOrMpXu2YS2aTwQLZcuQdQ6fRzqjjF8kAFZgPhFi37AF+FxJjXsKh/mPA+l
SVN5W1jeMGyRLDv1Dj4YWgWepnYbZ10x7ad4TvYWo3U2w260b5wpgmZhDY53GUUITEZ0sni2wiKK
t9XxRQak5zanKEH0fcKc55yPtdzZREguG1wELTNANwqxbWRGZLYKwiD6jLKQoZ5wZocWyoK3HP6N
sW+WBXoGMXGwYhk3YFqsRxkPX3n6mGzNcVY1pvkVJDdUacQ3kZmClCBmzZzhVpAAc8u2K3BDiAm/
C2Vhmixws/XvSmsVs5ErDtyJMQCWTHO1UqKOTJaTmKhTIwPhCTrrQECTUjDV1AI1sSkhuICzi2Et
AMyWIUQ67lHccl1Mi+hhiriQ0II6mLhhV64vczlrtXM/VWA2EbSM89M1cyGse50vMvYzOz4FpQXL
xp95owMs/rX0nFiL+QeSjL7eY2MCs905csq9xug+G5vwoc04lvbBwIF3K4E+P2pI95u88tr3NRVk
ChZPd8n5aVrZ7LzVBP3sxN8ZVFvne40UvHrv26m8d0vDirZZtSzvWcoWtHdy2wEYxgC4245Gi8mg
YgWi58pF+YLFYCpCrwQy3RTScHdVgZkISQLMmzfD0mL9guq4CCEK6u22NbTpsxQYm0LVyKxzF9pI
TJpCPqughOkqf8Apkj4/MztEUFvyzkDie0ZMZXOtsXjlRkdqdOuasQGoDoMFubSddJ91pJIn2ROi
FPSNZp3rEzkf5+JI40P2w6qZPYv95EQsTgfe6wDfs3E66OacXsGYHb8GjgEnhMoWaUE6jE23jayc
XA99gkl85i+ta260IcIiCXtn2hPdmgBaG56qrtc18n2H+JwbrSVMZ1vG5qA/4r8ysYvT5pH0p4l6
k3nNzBUjXYSS35c86ONvSQYNxrZLBwjfN84hF+qL13f7pRadCo00ioC3OCYvzaT1SlwmwDv++xQw
HXacPklWvpzZsWtUxwU4H4UIJ/WBQ6Li3iMGiG2hsa5H/LqTm9jKaAwz/NKT7ZEW2dZrvhVWMSla
q9i5g6gwXNlGC10oX6KLGcPiz+PxZjaRizAAuEQy5E7YcXuVmpzoTtwFKHlwhcOLjXzMEcTf9Bc2
9qHIdCaxuVncFb5objHPMX+cZHs+B0gXMIhzFEiFGUXbpRDleFZCMmKkBJIPEbMteT/w7UTEpHLa
mwfmuMAD7ADwKDy3qMPT+TXDb9sXrfC+u6X3IIsAllyAJWqHajBpNs0kc8MBU4Tv1qzsQ7fS1WTZ
s0nFJBoWW6wX8nTTwLKEPpQYmMnASRdFqJv0gSCZoAP04/oPux/rLxzGbBRJcz7+nFKdiZEZ6RAL
xyOj3HVb541UHKeG+BmX7yx/FfTkCD6BikTdxQDx3WcQH5fbBF7c7ZHIbnIe5zvALq0MOl0Ye/ik
1jNEmOwWrNFB2Tdm/mUOG7/e0NSpN+FiE4QpaTx8UBJGKS4o+KHsJNggehmnhAqp3DL32X0shwac
+V16V44j5UPRONYZjwVWo3fc93pG0KyeVSkz1oPxCPHNffdKoLJtYsyrNOnIaiYIkPXJMlZvc0qD
J3BLIVzSH9xoU5KlYnzgS5XXB3gOFTpIKF/NOVo3BffC5HBq7fy+M5d+2hheq+48P4Jb1k/J+iqA
4JuBlQ/TS6vhWgjPbRKv3pEVSgIj7wbMWi6X0FUilzI3n4bNXCfGVtBDvg1gZY9L2qShnSKw2Ixl
7V86zjRWQZPXjvXYWTo3xVj1kOhlIvk+Qw18chJMt1bbKTVdEcAk0Ebm6AKgdGCYFdLxDEw8B8Rk
4Gtk8WyNZojMMzgbELIbkqLufLutQ2tyqmvNMqbLUvNjHblygVJQOl4376Czdfth4Q9sumnKrlTE
qtggfREjw8xV83A6LGO9XauZtY7Bt2d+BjMpvyv0KumtL8a6CPN+his7MWWsQ/gNMELmIoOyU4jZ
ZTgK+TcPkapMWKnTelo7Dtx+fEQYV7h7ZhI+dDTya7uDA27o7Qxklpd9jexq0zdJ0x7a0ojDiSYb
TSghAUZxjVumW3zEhEPt23ZBJOlCFv06CVE00ei3M0mGPasKyvKotTwgRHvcKYQvnKa46ee3kMao
yAlul5vJmksvhGGVa8Rvzd7ZMkKOCfOmUuZPrDdZVRloIWPfMRkSjIfR52xozVjD0MnkVk9cQHmM
2O2viRKZgDtjai/jOrFvbQwl7weZZ9N2IlD0+rQZVH0DQTdOIKfh4RTtm7Vr82Kt/YmwL3GuXcbA
e91WbDAnArJKy/zgiJXINDL+CBQME0Ukj8lR7InJ+qxavz5w0vj5HiY9dZpn2ah+3LilBvulWVks
hss1kVe3p/rWPulfjnpGq4MbGBSYmouzUdcVZXGG0mfrj+4C6GR13TvaKu4gkXea3IpJqCIY3ARJ
W5MsOk8XlgWpOgutAF4p7Lyxwk54R6tkndkjauOrk9xl4JV4VSxSXH60qYvOG+HnTQihm+4Eek/8
UzJB98/YvMxHBrHIXhC4rgW6abAJCHtgRpNWwAl7Y0Crz9hzzOMwMbx+fs1x+p+gJ626nrZauA0W
WBM36qhQxU9uLaTzVSUuW3wDw0WssrXG5PHs9PX70QGssmtiNecvXuXE2pYuU64NErTqJ33bODzZ
bmtrYoMTSqJTKyao+jRrNMQHLC345k2DcCkaYLyGzlHIGom1f5jqVYLQFjVsdvwVnL1zLADGo5Kt
6AZ4/IJJ2qs2Sz5rgp5XHMqjonHxYTU70qQTIDsPxfTRXWjsJY9eeDH3e0hXgrFHQw1B+KhdGZq1
0cpid20/Oqv7PDGJ2Yfr6qE2PC7FVYKn6Z+EIDJyWbSlamJsi9L1Vx5VbXVDWtK1T71RIgmMKBYP
EEZoTLJWo8p0EqvSQhISUo3hhGy1B7vjkH4AqOfvYnKUisc8mtjaBlznpp25CAoCmykNlkTeWLA+
DSN3qiCRrS3CIjE1AHkaMe28Ne3EOGudhPc3QaTQbgeLkueKjoV/n7ZcLBFXFnOf+Jctq7q7LqW7
ukXMupGmd76ajl5U+SophnhlZDuUAP3rsTQ+rSVPK9tiH6umyV5wPGKd2G1G3yArPI9elqRD0dVN
tFU7m10VDvRxRUXewP+BqEjrGDvAk4FjrtK604o6qUdPujjmPTx50s24TDpf/UY4iOyQzlBR9O9G
ZsCcoOnxx4LZoRP7H1VJ1POL2drw6tmZoMZPqAJwvaHxqHoZyG5BvNkdHQv0DoDo9iRT9RlOMrOf
UirnrEYFFLJeVvsCAkyS/nwG/bL2CMkQh5pHNXY9dhDW4qnv4DitG4JHfce7DT8IcRwuhfxlp+P3
NCbF6VbHyBW9NplC6AxKAMpdIxETnemQzvMLOF6afFaQqVEZWk0Rb4m/NpgwYeXUM0Mek522xCb+
AW0Sq2eG/sZjRGABk+ocE8FLz4uaam9TFZJcgXDlhroXLhQAU0FvXkxPCkz9VcAkukJByR09yvkY
4HIdlmD6tIuPKh8i97Ba9iu93Fp5VYQKrvTX4ljF+UhPngWOX0OIq5yk2iJ6MSggvSxlCun3TJcd
V9HSV5A0zxUcdiNsaYaTm3FACBFKgPfuwrTf4m50tA0mxvEXZHXzIcKiSIX1pHhl5lQZ6dbXlu5F
ny22GAxcWasWqYVDsAykif2ElBPdLS7DCYD0yf7GUIYtsqsNlg+caf6t+xVbV0P+D1qOWgkKczQb
49cM2lRvJ2b63XWB/Dc8edvaTCg4mMF8sBg4im8rYXPBDNh4/+c0BWhRptmtxADeeYJ8+Uxw/GVy
U7QZiyVn1ntPAw8k0kNJQYfYiir7NqIWT06FOhUnowQ1EhWU4y2AAIQRgeC5g7d+QCRgEF8YpjXn
K/1wehvHYxRksyr1dIjA9InrfHKTxtkyI6CZGso7KNX88ElZiclz9wknFiUoIxR652RBARAcq3bz
mHB9urnloqMPN1XaP5gSKGPT2lQPAVtzld5FVcI7rhmrxH5p0km7jsVSNdsIfXCzZT5b5SFij+5z
7Cxe2kxPEvHYGKAFd17rrNfi6qtXIz5zDfTGLkUKtPHzNNae60VE2uNq1je9xGmPckk0mZyvoNnE
zd3MQ82/yor7tEX7u74jqKeaTad6NV2DJOsPul1XL6gK19tFAQDY56CsfkANOOSha1fuPTZrZKa3
DgaV2whCbBpYiSytwEJR0QVRY+jY4AxVdAknst9ZuExdxTmOAzs9nyN3e0Jje87TbN8bbTLsMyfD
AgNgngIob2f1cxG+2V3gPMd+Zkw5d8zPLTaXk4D81CedoJyaQij71ie1Pi29m1hKIGc8M7IiR/nD
ot8XV6d3jgRsDD+OANXYlqyczkKvdPIFGI8q8arCX2FraoL6tThKedBV8XBzQJckPK19/Ygd+qVL
8SGPj9Rgfh1x2Kx9JNZryHrqgn0itGiDykCZ2vrWMzBBRVOsMuXsKLk9HpIncwRgOVbG6d9oHtiy
sEdZF3+F/d0jE4lYh98OQfmQ9r0V31eJb+u4meMLeON2PWIGTGbwen8YSNPBLIIXOLqILcGSPi0x
v17YH7KaiMFfa4WkWo6HbpQDKm+wX76aie4zKnnf8dRdRcJHGCoRDp/qpNcao4hPJREkkak8Ouox
nlZ54Okt1I/73JLonBxsmqm5aepkaU6Q/v9vr7D9V339Xn51/7n+4g9QozaNk/6//vO3/7pKP5gS
19/9n9/12w91/3X8cvxVh+/9+2//scUCs5/vhq92vv/qILcd/8Cv7/y//eJ/fB1/y+PcfP3P//H+
Wa6kYJQR6Uf/uxWY6zBN+RtDMRRcyWoH9h+PX3B4euCFr+5f/IZfZmJ0Lv/bPQx/vX8IC/ssXxjk
0tv4gP23e5jr/YPJgwGvy7HXkJ91+vDLPcz2/4Gzk8OgyrZ0l1A68//FPez35Ae40ut4Q4fGa6HJ
9tdf9tuUQ+ayrGlT/ZeTOzymgmyv05C56v40o/mne/MvrLH+mAzhEwbZCQNrEwsntGxYgv3+94x4
JuTXEMaTdZQbL0Y5YfLSTuPaS7RVLBjPZm6Jvu1oYhmdwmJ9nMynt3kkYOW8Ablj/rM4TrJsEHuw
nTOrZCuaM5IPz117QcFelTbndbr066FEEjQK+r//IKb+x51zPWFYPAbDxG4CAuOf+RWt1oDeoEl5
Nkp6zQSss+Sm5em6fZ/aMZTQbF4GHjVA3rJgIzgdKsK1wC/qpFqLznS1EThZRfRNR1F2Utn/Klno
2DH6TSx+T3XslBAfUFE6sK8JiBVLkd5RvSflp2/MVLV6ZQKvV+a88r0jB/zfxg5lOK+XZtZ30/HU
P22dJ1hfQnVJQnyy2AUnVqKRhoU9rN6Rk6gplk5n9NFvIwJbdl6AW+Z8l8SwfTdLC+gGeNWx5w3H
HtM59gnd2lGEqTcjMMeIgW6OfpOnVAPQiAP+LNygmTHvADJCsXCBjoV9+rTrT7Ond9fY0/OdxhTz
U4CbbMh6CyR08Aq7xemfqi2BUVJh/DK2OAulMM26awpBuXwmjRHlROeu5uanp3A6rYySfPbzk+cC
g8/VJpcsEcE1eC4GPsvx90+IQJlgdCkNVeS6qyJY0PBdpUdPvcxp2K7x1ehQ0csRL3EiWes+WQJ4
fB2WnDX2BnwQfaCSOq2DDNNlONrHON/OtJdJhPpiU5NDn05Mzs0mJbZpm4me5Y9NraPuT2e0HLGf
wgPTHLiJKI+bzN4asZy0h9OdKz00vLT3wlb3M1A7bs9aW/Lq4iTCCaIPM1ciBh+nGihHOuWknAk5
3zFFUMYWM5rCc4OyQhR2Vw8ND3YqPFYamKLLWyWNiE9NeLJaLzFqIurvGepufdk5RcbVd8XMg0tc
nfeqhI7HgjmZPBGPd7zu4zuK6II2rHFr1mrikap+TdMw5M+TY8VZFrg9uANWKh7PZthiB45HaJDW
LdynAO9Yf3o3j1Zi5WRF6i2rJ1oixlTkMb/bZm1ol3M1s/SUGfX5s6YI6NqfJMcuHTibwvEty5EM
+YR2j8XYP/puigi79hGFXWmkDON/exyBlJnFakTlz91sykZAdGMQy1M+RaU3dtkuH5DldXXr2T1t
lVZaq60vSpTVB/xUwqve4d3D95Dd6dQDnnJKZduwnE7Ovaj018QXGIzUMIAHrOmmYoB+rvs0XhCc
HJsvsDOsaQswbvkYIzma8ic5tBPP4vS+/vrBuWHREMrIIk4sDZdfAt146igkm9cZl3k2F1N2PUvW
jtfUAl3zhzRI0Wu2b2Ouk3ft64Zitrsa3zwtRwQpyup1m8rB9vYnU3mMjsC/q+Mi+fst9C8bqE3M
h3BxRtVX98g/jStV2UyFL/X6B+4BKjvvV4Pl8xzlVXRhKDc1/g3FZOVA/J95/nryWFBLXAL7TItd
+88/J31YLaKtmx/6gCpgq9DrtgctTluJMBNXnL1vMXL8/PvPaKxMh9//qmtjHYrZJ3/fEM4f9q+8
s6luYjjx1Aq5+mHjhENjGxi4t8xhUePXASyEC9f3okvNnFGaJhI3RuBjqGubheFOQi7Cmqb9DasA
1vNWM5YEbLZndJTe/ZurXa/m96v1MPVh3KDDfHD+8kjIRcaIT1jeExM/tzgHRBXiiUi9MoOCvh5j
LSYdMt5iJjctbCN9NBwwheeNMC2s89Wp6KQYpFb7F9WCuVYDv12PcPE15ZXgshgU/JlvN9Qa9C38
v3/8SmTI3VRLs4BdEb3Zxowzzr/Bg1iPV1k1sg1CWUswZNn0KCTYwY5dSZEQiIOYhfYb3Ievlp9A
zR4vOaeKmhGlZghzN/ytucORMHOH7JUyGlNH3uy8Bc5CeUdlYfMQeOn//pb/5SWAY2KbhgPmiSjT
s/+oh+B+RxJpmPnUKXSET3Y1+TA1UM0njEanJJ2//v7v/WU9OrorTNt0YVWgpfwLU6hMkJGKSX9C
V9+NcIPSWpQ3FvQN5uF//6eAZ/98fK5JkUcd6zAdNImp5+v/RKHB9s7OK2x+HptxtkdzK0d98sT3
jMcXLFXZrDYQRAVyMEjIRPmV7DPAhdHoOf0jxpotQrFqGbrhXKk2HrSgPe6lNdLH8RAtVu+/y0Kw
PQkSeXALShDuV3jpjVg3PtDZTUgN+46Tb5OdrIgWVS53hFJH9X113PMJDLHQpKnep0/eSdFn7t7S
0GFj6WJIDFxM5e5jbbamTVyipTjIHuf3PFD4wFDFkExDyfQrRidr8eno9lKllD+nYxw3CHYzF40w
xH8Q0GzbKI3MvBA9kVbbTwJ9J3bbceVS0UCyZ/v2uhzvkhscvqi/qJ9HTqzRnYXmnjcz2KsbDPVK
D0lBAbSHTgmqo18BOdSA+Icd/0/M1UrVBqlZjDDPp3TJmxbHILkifSQQYdm0j31vzZSQJbQ/TDcd
BRR+N1q0dMnZUPWO/TLrNk5VH9Ll8dTb5RjL6yjC0X7ZYmKg3rxmuICg4SwYkXr6xYzvHpX6bHPm
Wy5o6TfKAg5XA20pNVqhZeWn3ZR83NPZSp/dLCOaIrDiOuDlGzkftZEUp+tT2S50tfAJOKQsznfL
5WDS8Zc1b4zap0iBCInvxkE06QpD0OSvnh0YweAqB7Fx/cOF0fAKnyKAvGhe8znJ0+KoPln4mbnw
/BvCMQUpUTF+CuUO2zweruc2VBezG6+m9FNJuM8nOi7cY5ZT/LBB1gj11inSuD/VRcDV1GC/zmc8
1+KJFM61ICvt/8XceTQ5rmRZ+q+MzR5tUA6xmA01gwzFEJkRG1hKaOFwCAd+fX8ga3oqX0+/sjab
xezKXmUmSQj36/ee852Ur3/7xGZQfHoPpeco0z4L15Uxqm9BTfF/SCfwhIdbHX1L8zFNF/3IHueU
IZ7dPDaqUz7heUWQYvdLDtfUcLN/CpOG/YnwsyW4xlElaSkHQaOKZSuADFo+OLUzVHp/+6cBU5k4
GpA7NZKOq8lQHXfA9bgy6ZAW7pq5YW6gXgvpvPebOUVcZG//xfrg/CmxY0vmbE0svGDIRIvWMv+y
OY5Mpj2kQO07TFOpX0bC6YCglrRWVyPj2PZ3dxMflWZNgXtL0FD2tT2IEbqDX8XbUecrS6CzyHax
EZeV3viSbtSnHxpsSzc1knGN8sP2w2MzeLG1pBOg0q6OyrEm79E3iKym/+13zdFNYRGsEKsvzyFc
QB4B9gi2DAB4Gb51Unw4lKThkJc/8fNxa+nZ0ousTRLA95x/JNtj0Uo3fijdaLCe+z5gCkY8TDUk
yEij/pqK0aNEtvdFmSHv3YRLxp2/174oxxAnZmVqMox5JagIR8dksP9WOXQ/y4fiFkihCzpC1v2Q
mHaY30dXZlZUuLxyOGAXYmFA49w9WpHJ6nOrEAfmeojHWvrMJ4JIIkKf2pL7c0e+7tLGose8ZOcg
emyz/gHwHVz9g6qHJXCRo3BbvpmDGjIGZr3VUThJrcrAe0g4O9QFeTe0x2h2V2mKqSwT1lzTpW9y
OmOJokG89boQTVIyo/2l0Mu5quEcc6RniperTTTDGb6zJrrapwGPDgfZxGSNG3qs6ywHQIvT3W1h
A05auGtZYcxN4MqgAGL0pZZvmY145bYzU03CmK4HNpsXA7ZBLrq+PiSxWNqVo0ObrbIZED/BDKih
Uvds9Lzn7BzZbzWCTH7WSU5VaqWFM+Tr2krc5NWLXJm8OYTPyi0KZn4R8i+LXn2Wc9vTvpjz1yKb
pXUMwVKFT1xFJPOMaWvIRZHbuukW4wl+Ya8hNHx1Q32BYmA5wVbDj+j8hpNRwMrH6d40rC3Y0ans
9n0qkJJh1coNChZyAZnO3wvAACm6LBb8+W00GJus6ihKrK8GZVi+qekdExqhOwmYde1D+AX12OEW
rf6VSjb8azkBv54WEmxWQg6Qibh/eYMnVSHadjPnFX5WIPwTcfPgTkxRGW4//ExmjqxpwbqK8f0F
sEWr4h3xDTybSDsy/Vb3GLiOdqY8fpy+dtzVTK92c/tDVjNpfvxsmmRiz8tp97VxS4Yj+L4ycYFp
q/MHOfgsmYgpKKLHLObRMpdh9XM3O9xwKD2h8YvjZEYOUzqE45uZLUJHbZJz8mzWC++3DSc2isRp
cu/r7dSYZTF3Q1w31FhBebiTgc8h6fZfIsPgphepzVHJIrFKf6rJXO5hrxzK0ioG/i7Bjo2+e8FN
N/vfKmouTNSVGIcAwDZlzrhNeo6Kdyi2QIBjElFL5gOwHt7SqIWZ+kW2Hv+7n/2lsikxz3Hu7lRm
U3BIK+9ZngQqQF52RY+AXena/erZqPnjEZjOj1v7owfLg6hrcOkXRNZM4+m2qvEmsjkA5qBqh9bD
5tzYvOj/6ELQ3KDaXQWxnCidDbiFrEy3dnW43IF6G3UBC+EwI2A5xb5Vuf5KzoLtGXsTcRvmKm5g
RL4AqViGktr20n5aCVxOw7TvE0aipLta3tI2SRJZISQjpmSKaa8wGm9XfU0yxk98VX69MdJk6u4a
hRDkOz6NWX7PZoKaCIxl2VynaC+hVlc8RNbJH5vWwlldg/sk3EPj232zQC3qt8hDnbcL85hlyPMi
LkNUWcux4NYIq689n8m2eBAMO+X2EogLHxn//oQHC4FT83brEd0m4njvlyfzFmqNlXyJ/qNgWGot
u7D4JBkvia23L23Z/bKwx9yZ/L437aXKY7+iP6ktTvi3DfwWHDbWNskzqLH65YJL1h5yhZIxoY5q
wVymz15tlq314FRY0X7zInEma3q/15993Xo8QTpPl6KgVWIJDiyh8Cydrna0WM6LyuCWleGizBuj
hhHkWrQoauhBKJoWbQ/Lut62lO0ku2hfmUb5ZcwVb0uQwLh3wdQtzPaghgZXE/x4PVbZU7w8mSPO
38z9Tm2TNCMhjQQ7l5vZmXwK1luXjsAxf8peUJ/R9V6nTrYkt/lx1Rsvs9UvrUeW12V3gkWMfRY5
x/TVlEKHx5xmFxlW13bI7M4kPKAmD+101xJJxz9ioRXkHZr0GBOqQ7fbRNcNVon5SIPvP29Ca8v+
l2Ub6Nis9Q3kKfokxswyPsG7KR+Vk6ryaYjIMb/X2kqk+S/OQu6fAQVuQDBBGPiwS0BtmS5pPH8e
hawQznGbLP5bYwxmvcrtKvHOXH4OP36esJL4HQLZggZYgE9ccCYsozW9KChBWLNBWI5YcnJk7UGI
4/mVdJh0fjTkaIl93TFzPppVN+MB0pWkGmfOnjXzOuBe5l+iRnLfRdnPFzJDbfupqYBIf+nBMga/
7KHyf/SynAFYREbXZJc+tfjAlet3vex2yqxbe+NUhOrt/JpEvvXA69tfbNNs5YE6krfScD0qq2Ie
PAqha5saWlAU/nDK3M+waxVLBZ/BLeHsjo8gxur696Wk+M+XlxmK5QrXE4j7aRb8eXnT2G9pXxfd
WzB4ATFtOWsDVT/E2KVomwvET+U/WtU66Xz9mZTobu7LawhDRSCxd0fgEu1XpysRS02pSRFyG1H4
/sBDjwyPZ9NomNnHhyIfWSfYXZc1IIsLys0+ChruXqEhK8CxwGlX/GoLT5Bz6UTkoh0k7AteoSwr
SPCSLlbpx6yx+TfNawlRGkguWtrC1Ozv6N9HIEQlhiFWqFuHcMhN6qUQ93CwYneMk72VJkufHaAD
A3QSWMSBMFk6mAndSQYOdc9DHreIxx7RYnjz8XYsSYslPwEOO7XZrXrJsXgyUEk652Iy28aW9vc3
58+AGjegwcfMJ8BVFYa2L8RfugBTWcZoXEL7FVRB0TL8naC+0q9Olrb/TYNAfg1fgeZ05fn/4tGg
n/hnFyJgIC+wczEjCmzP8+zFrPRPXQgzivNqpKv2BFGGeuxgwavycvuI67Uv3O5EhBRwjfK5ZmGa
bPxxqirhcVO8hbM5IUhSnZNEr0RpkEYuV36UoLb5QAeO++9p9GU8Dg59J0RX9mtGLHbrffNKWsrB
BVsOv/TDZ6otXbXycNnTVBpvTXbwuRI4SAMh4yvxcNZ8cWTeSuvOKiuay+hSLNZ7+GhFctaJnLv1
mFe288KwwZD3t6TiFBwPz9F1rI0ziHqhiR0DbkEfKhZYyA0LDJXG78jhGLUBi01v9Ry+83SgKrjp
pDQea2jDql2WCsgX5c/JYyS0Fct0cl/b87JJ33LBkfK4IJF7NFsoTFoQc/dpZbrlVnPjgG1fNUcj
7RIKrAqVLjvZ9bA7Eq/kHiOMdZiE2iVRWM/YLY/VkFE9xbh4ePbpa3aMIIyRUDIEc+yV9MX4C2a2
YFWdZGJXnq+lHWlYjNoKlV8BnaXJvwGFhyVIJj4r3T+2hSyO2OhQeix6jSye+LwwpL4m7naa2QZq
NXPBxC3X0Zn7NjV37KfLLKWQCZs/5RWVw5Bn7Xx0klGEW6tErPmFiATP3reTsvjWRYJHt9skiknq
C1hcVlCI5OFovvTIBHrCKaRkLUFjnGWHWFpTH6+iEE7msUPpAvXwuiVFpI/kb2znvo627piObPs8
nEv+pFXVipVlTk3L/apiNZAXFowD5amR9CpYI8iZ60sfcAm3CAUXl37VxFyM2OqxByAwT4sXIs/g
vSNniO2nWwcn9xsencmyPImHgBF3Nb/fFqTaKzruuOqHpZxpYKIxsqkDqkUdWmZ+xI3fo4XvRlYf
EJ+8xG6FYDEDby3MYPxMU7X0Yv6R6+3MRZ39jp2lppphdzA2int6fUYTL7tCUuMUSbeTqt3wC/ls
9LlziegNyrwKWaKycUGzd1cL0e1nVXQ4hkspHcEDN3fU3TUqqek7wGlG7CuX+L78Po54EXe3v5CX
3fLvmQSkDhfMEVTdQg4skXHfI1nsMw8hnefAMrqUkCD5UsCxqUo4r1UUQsJOeRZuDRzqdp5dYWa8
MPx77AvTdcZ1UxjBtYnUukPxmyBH7JYGYWnwmcDqqDodofxi39WNb4JXUDyNphGP0QELvDusPCfn
KZk6zSua6Sqj+gvxqKfPt1U+wJrMl+CMOH9vu6rJluB4DEjfczey6xMnX8M59F3Lj749CZKuM5Ll
a0hK0Mulcc15m5cDqfnyOBWd4Do0ty2svL1JIGOipStukWewC2q2yJXZTNcSXUXLmD403KXQIqii
RI3oDVy9W4fTRN4eHD3afeI5D3DVf/XqFLzC6vbWthq61uctO1vYzIQfqzDUT0Smcyd7GfJagFtZ
+MEpPn3vjnYol2fC+je+3crpNptt+f0275Smw6HNNrvlKyGyY3zLlCXmwYvyocUtZ2N5oGQhkGEc
NzSL5w70OCf718EkzmXdCOF+jzownqR4N0ilSg/vVmUHq5ID/B4ru/8C0X6+KwfL/jDo2NY7pve4
er20S9d40jpgcb2wPjUPzpJs7R85UGT5vsvwlm+wWE37hYRUbui/z8OaRlTVrquYWL91VZlY0FPM
8BwIDB/kVGOPXe+8p2EvG/Mb3JtxebgL+4XvFTsHL87qLXE7ouD8VjEuO3LGdYotze167am5LBkn
Lp0FE880dEW2wvEBTbOfrSUBjMlJN0mydVXV7pLGk/ATCotxDh3U1tpIKqqHJVrXeRRmar2WOdXT
zs4M8wMnlDhXc9y+YqyS53zU+nnqem9eK+ktHbu4G39aHHnLbUSjygVrVvUnB9zDL1PlTbE1WQRQ
po0sf6u0DLMvli+tcteR+EyDajAqTK+x0eEjKoFSbHsedwcBop7Pi8L5UU5e/uTaynj106CA9xLR
XS44m8UQbViMDlHtji9520/JVyLkF/caHuhLMKPFPScwnu9rsKf+s5vMNj642mGK0Blue4rryALt
0rrw2GZe5XbDIXN8LOFWgOdiCDRs7HEU7R43XP5hemX9qYzRyTcx0v/isyHuzNl2vHvRw1g30l3H
TpNOH5Uxi68WOUvuXkEasuEWdVG8LoVZ3JlWn8iLw/JrrsbQeUMtn734oPGDjVWPDK+a3PaTUz+O
hAxVc6dfDFFgNFYeyTtbFWr5De+j3kq36egPGhPcDytUqwzuO+ceLMGPNLxMsJOsxwXhX9okWUQY
xyG2fXUoVZdGYPD7/FPmqXNkRY+3THOktx5ywXGNXHgPETwn+wtFejMhzm84mW0YYDdwP8rGf9OJ
WxHp2TXpjuUQ8qye0+isTQ2sUhD84zIgjKKjC6ysvjgcgIZtnNnxenbBgRiqCoI9gHjd3OkxssI3
HgKfrSss9WOcuNo/FkU/wOkWNIFWs7TNDZ6x/GvU+bnPTlAlp8LMEoW5fmDLtnrjnNgqCvdtqGiw
tcIM+XJiOFhE4DbfctMaH8M48TFrEdd+QDrrVe9kCIPmHcahzrdW4SXRHeHyC2iiRmrFW0thvWBh
cI9Bfkoe7QEawAo3HSpLq27G35icJMJ03q91xcNurpLYQiNuBhaElbr4Gk3h97rMXJyS8ZDsMnzq
YG97aX4HHZ2eCH+AbzhGSaEg1euwfLYhVXzNeWDvW5Sfaj3Xk0eOjuNdZNiDhcUgraEQlyVxlnki
rW1R2vVB4lr+qEvIWWjkvHtqMcFwas6TdEsXwtHrwZfFwrSd45MqHPg7HNTJREA8ULSvbEW4RYi9
iFcirKp4B7tD43tyrG1pB+09nK3smcZ1N0MjsswzinQYhcRXuDsuOFCneBRnjirTrsWqlJ1mfJNf
w157BbclK3+ZRl9Sh3hejoOqsTRMoSlZW8MkFEDnNO13tSXtp7wA579WLvS+LB3yh3KRbWo88DGJ
0EG4sIXNGmFPNh0HXpHgmUDztDnSZhPdRsC4SlDsol9J1pNK7XRLXk64xTZNEE8FisUF9J/OwVZU
brsecdodwjgGZJRBDX3rhCDRhJ2JdpBRfFLzX4KxdRMCkHt4p65Qxntuu83bmHnWHfix1HzKO2cp
xSilqn3qQyhvqyH40tflIO96kMUQQhiATeug8ZnXzxHBxJsq9swvZWMEdzOev3IboBK/gCzVwQEl
lHzBCiFQs5nFKQHHezaTOPqVEuqyGALHlrWO2fROtVa9NCXxoPWF5iEKYWxHolMxYKzQe1HA6p77
tIKv5bTOFO6wHKQflH4YBUxHRefZmkrrrqQj/LDMfngCjby6G2rD/N3kKIZZoa3ksU0oQw+Vj1Gq
tKLit7GA5M6CxLkzugW9xKpk75M38uoMpR/ssRjB9rWV4i6nNY2kMXPNk4aS0r/arcTO1dCvSuAC
YKffRARC0eNswQXCLkoD+16E1MFfe0eJJU6IPf8FsFDzInMrdlZpE05fLWLtvgcwySmXi6Lqn2TC
rtA6opSHKtYhXHVCPsBnzjVUuL5DRr9p8S3YC2Z4kgQKBeFDIHnBv3gUBAxZWtAxNbjyQ15OZr4e
a+Tai5NZEx7o6+QdXT8d/SGIqwCHbZUPcmeMkvU0RBu+qe3EGNbKd+TW0UHabH2QUOJXr2QPem8I
PEYPWbAMrIO8f4gsEPgbtFT2mbrUJsfZn+MNlQTvJ42Z5Pfg9crG/Ri01qGjVv3h2iOSdJ7dNFmr
AP+YhQZEUR16ld7axCmid6CyMNdOJ5MDzXaZcmabmKr7kHLsNfMi0tmBtOlH1clA3BEon+wHO1Sv
vRAQjzAZj+2D8NiDa7LYtjIMxAaqUsTn2doy12VHKk5MLssEJTYd6vOIGY+M4jTMugOMHY7CiTN1
p8mIp/bOaZDq3ecK7u+rPargTArtGB8cWuQzZANfl806oTU5AlCGtboKo6x8mLNGdhcmR1342uHP
ocponQtq+MAgc0fDFTupsAYk3DpBY3/xh6Bv1iG2rHmrZBK0d8HkODsVLLAbwzb8x6xsOnkYfCYU
a7tFzrYKqxoyd5EHL4PTj0+SUoioOVSQ2JYLW6LiGPMXmpWWvkuImbGx6jsDs1Aa3gjzQJflLlPv
n/kUxg46tVWH3ded7Xs3c0k1i2/dif/Xsur/UjH9h676vxJf/38pq2be+09tpEXi/Q9B9qIf/1//
86Eevv2Plx91l377U0x9/Xv/O5k5/DcP6bSzWP59x2QE9R/aag9pNYHNS0PQDBB9/VMys+v/m20j
nUYAYzmhx+T5P7TVrvNvrgUzIKSVKEyUh/8tbfWf423UbSYtQ5Rf8C45jKKB+bPx1ADWb6cJ/3Nh
6Qad3dWv42qrBgLkB2dJ+YOTd8gg9/Gl/oXc7c+uGx9uUz6QDI2Yy7JDfuyfHw6Kw4RorPUemLX1
eo2Yihs7OBeO79278Dxg0Xn+3T/do/+LYAv8xh/NtuVjUTNxK+ylFxvS7f7zY+krT1HCuXnv4oUn
JCsm/iRuIXgOtYy/aqJOXuHiRO/sUqxo6ZzxfwtceUZiYWi0W9xkWCFoEJNsjPxnMjPxzW162MRl
V58MJiYP9GB9vQVIhlmo6QQ0rLhuD2GUTJcsVcO8bwMIQ+Zc1ScPDOKePnawCThffhswXzzYYBNo
PvJxaoj0pTDC4KOnq+WcpbBdDE7cGku1ejUU7ISbAp4a1k1cOh7CjhoqB57u8N0rc5asgSFfuRs6
OJHrFrZqjLF3cRYVC4ukNynnCElGIheRPsfwtsuAlfVwpBom6ISGYJeTquXR8K1imLb2kNvvgV9H
7xAT/FcLUbHzPDFdPQl/AQMh6QrfwWunUBMYfJyuRpZOy8VPIkPoEbbCMYphkr6fXRI6EdTocXjc
mkLzFztLX8gIiUDFmqZST03U88sCk4tbj2Z9SnhaM35vaT62tgq3HvIm996/ikrN0seWXzQDP9Fq
mia5c/pa/iBhzWUCV8hxU/IytFs/iZBPzAu/AL2vse6z1HpwF6XM3YiyZDvgQMCySiviKXTMDJKQ
EQA9DdyKTlYxRMRaDQTrcOAzH+B1834UeaUvhBlzlQwfbADjbusBEqZ09pzBPI72ecJHJqLqfrbX
mDrt50AVw3S0H9se2ew6ibAsrhkusrWi8w+fgTG0r9OMtmCz7L2E2VQZ7curPRR9lnO8mRuH2e/E
jy7raXN0yxeUtFOJgwJduFpu20PuTvW+j3rslik0CrXqrvCBnp6FTVimyukWQJ9/VcvlZKYANz+a
mELvDb3YmtoaOvGulqUCrTPAxcWCFWPvs4ORf6v0JD80tLjideC1wbpeeiZmrSdvG5qNh/m+zS3S
jqMxeQRiabnoeccywsTGJPfgevwD91Ux4dJ3hdF4Z9NgCLKlKF3yRK8XjTav+TCChf4wmXoRuRjJ
cJuVS4RQCSHpQsFqv6ZLmAwxh1W9qYymOneu7rDB5YovhvS8APdXxyUUZqcQ3/gxPAuEVHE1OVax
eVdDf8zspD7hkCZp9PbQJ0syaOFA2eDQ4/NxmAD7J/5ASmBSq393mRy+IBzJSXIHFXNK8K8ix8mg
lmjB9+fAnNqvwVRYD4rP2SBON3i4MoNXgTmMfsoEzfie4f/ZTflfsS9pVl7fhRTen1zbdsPXxwUd
fW04R2QP5Gi3h8xAcX5XLRdewcIliXKego2MSJHFR6b1hXiUpQ4bBD+yMYhfoErGw5cbw1C92ENj
rM0BSIl/lXEYHmXiSk4ln+Q5xLoCiJmS6NFWtqU28IT5m5nvOMdZiFgR4DwApK/Qrc7rAWoCK4rJ
oz7TNH/yc2m/NjX0a34j3FM3teojp7DwHSiz+JbhX/4yAk6AyEQtV5yIcIGyU+vqOSYOHdgjOdxb
15AR602OrU4w2Vg7ZgReHF9h6qzI5uU/+1ERIvHPJUYVsvqooQvQWAOBsNfL4xm5+YXTAJoaGkk5
LZkue8xk5+4rEZV7rHfjZrS85AvsoWFdk9hxkYnM100XMlV34mZbNkjrViUBDpsIBAVHwlC1B5HV
0Y9iSuW6tzmgpKAHNopZPEEFcyQPxRCSHFej8XquijbpkK0JaOzmIB5CHTTjJkD9ea85f+3qwuXc
I9mYqhW4sScgE+qT9PPmI7UADHEW5Vm75dgx1DPl7rp1dPg6vQ2xHYtrgFMueskKAuPGJtEenaJw
3G8xYxpEQhDgCb/u2ZiYL/LnUj9rD2aHvGODC0h+QpELzi3CARwrw5LnxTJRn0bkK4pTjcuhG60W
SUmqC7elO7bGpnXcNlz3QtLe1YPST5hZ7PEoiBJ4H0CE0GiXTnBW5XVJWN6F0FUsi2lS8cTrxUi6
m6yZlb1qWCeXJyat4CqtEoyo7rboavF+9UD31sDbn+RILE9ZVnO4SegpS9A5vr7I3IUR7HWUzGsV
BUDWUZ+dMuYbxGuOgp+DIIOPTn2pAHmGxR7QBbc8DCK+C9Su9jAmARckR6GYHmYmZ3DsliTfCrD8
h00gyAkMA3tY0pbFp0Wu6Sa6NnwNINXbhCeTQepSFP19PfKnuloIKhH0kaENmxvOHa2ZP6uR2Rig
LYWjvfeczvqMrSq4EwIJFX5r3qW//6y/WNv4MH44pSOngoVxLP6TmjFL+F19mu+hKeG/BCpQIxxF
+A1eG4k57QNfRP6zn9FRP0V0Mk9aAsXbF0lOsmOdEVhLRkpTImZFgPDq0hLbkyyf+cc+NiNra8R5
s0en0kPGQr2x+/uvv9SD/0dqz7encDOxE9LrCkTIvPTPSwVXx3ZCGhH7vm6G38Y49vc0DYz1XNjj
sC3cPHr/+w/8S3XMB2IxQBy+uA4t2/+rEzDl0AiXxXb2caXCvT034Z79pSRPKLWzY+T5R1Nn5nn2
pvb43/7kwLoqT00a8ML9S43q5mR74MK32YZxy8quJJ4ziKp9gaCFmQBhIFXnTESHQaj5+0/G7fmX
ApmfzQkmFB7nEstGE/qXD/d0U8XSqYi+oV1mrFGfz3tAbJRbVpP/SHqw5wyogzWFbKDXVmsSDGmi
J9jgc5+SLTMOqJpB4u/EbIS/Ee7bG+kpfejNxD1nfTdsHDWyTzAr3rRqzNZTAu7bKxULQ+qwnuio
aw+p0yf7oDXbpzQW1SVpTXobcZ8eutYaabbXmvD0LikOWqO69+XzIPW8CaT9aWGjgdnXpCfC/vx9
39rp77rLlz1ZedWvyq7sXUNu012QTsaRuO7kQMEsF2Ra97VFq7qylFW+KRKB7lEIE1spqOktPyuI
fa3vSIQGZx/NhoxXaR1aIKJxRy8tvZ80H9xNqGP36OiU5OkrRNJNJTvAMPrWk8sx6w1S+QfcrXA3
JCO9+URKc0/qDLmB0qCO8Dz5rSsdREleUfglJYVsD7CrKfkQEZ+qeNS7DKPNKkdCBxqS4e6XHphB
s/LGDkZQk0T3FRos8kSXGrfRc/yhMW1/ExWlnK5MDgUZ3Ezku9G4m6ENUVVO1TPEgy9GmNHyzANr
XeaKgM3O4wvVqjmRTOqvtY2EZQX0jF1jzCfrvQ4TayeD4RD4sTpYkVu1K3dJzNMTaq0NhjfneD06
tYgYN2TttBc8HXqfFH3+PYAQfzLzZBGja2+bq8ilKUKHm3CG5DOtmMkApPK3rWl0e6l0d6jz1IPx
Xk4XUTk//Fqnnylp40+zhiYXAMM5p8ya1nlfR1halb8dkxzpJpDeu6mKUE0MTBkI+zGyH1lA4IMT
FWiaLC12Vh+2HeRCHdxd7+iQsPsFGOCPOSCPR4vX/1yQorZOSHx7z7qunpEQOyPumyr9YLleQsos
QonI7lmVPj3zMkXYu2l9j5D5QMYn4MHJwTEQZ1Cd9Nu204x+YZvKxjZoEMuz33t0TYN6YmqUtMTQ
8pISFe8AR47rEu9DPYXbGdMjzA/lehesrpvJropjN/T1scoKfegqZ6V8YZz1NC6/O/ZPhXBNB24V
uSJsbhQmPHfiw+voUFtW9BHbFXxKc+S8F8TeeewK+z5kKPaRVnl4tlnSX4cEdxPzrJFCkQB06xUe
vti0Zha9qipeTj8LxSdyoPLEaNM42NGyV+SZ0BlOERetGmcaHqWujAMUKnnGTGR9RplT7lzq1UcG
pfUvIEHV5pqOTnPV249IgqM20fsYK+Mvt3FdTqtOw7JrzF+Yx1L7IeG50HM/+U1ubQhhnI4dZZdc
o1ghHNXm2PSeu27w2k0i/mnruLyHYFC990lINK+dNpfBEv42soZq6dqVT5iF8T4og/REM2g8iIVl
9CzISLxrRTKtU5cpCseii0nr/j6O+2Kde2Ingso4j4Xff0vAjWNIKOwHB1fso+nJ4E5CMz4xB5+Q
m+ZEZstwru6bJrLvOfIjWU+IAcnQtYCTmdxTHDbxG0GMcD7yaX4dZFJ9qL4TmySa4++xPUDYsuF2
EnJpAhkZga8w9MkYVwllB7ALNXUdbQsKoWvFyMqpLwiepseGqJcXWffF11GOQPRRm2iEhNczOo4Y
Ehh9+5N2S/c+wcV9Spd6P2JyfplFE55TmU6XxT6+H13VwjKJf6HLCl9Cs8jvC0cwaJy98XT9Y/hR
rYdIjx0H5UaF76aqM9Qjpc/ktRxOVufpp9GQJe9IlLrPTT3X6zSifbny8nR8CX3h7ahQ6n0FifTV
z7z2xZGjvfHDiMGKgvPZJMV4QWtjnljnuBZzZrjfGuHxiC5pGx9EDXEBYswB0L/6EB07WQ3RM6gm
51QKiuwYTR1ZFB19k5U9xty1Iuj8TzG1/kbgDIJZ2HsSwpYd7EFdOJ/FzBiR4ELdcS7lHQazF91n
NZD9EKDVm2401yRvmMoURJa+x9hicacuAgZwrGGxntqMpo/ZdDCP+/wiYwEBygxKWIBK7BwvbX9w
8jF/UAyzWM5EvrMw9/rJaHt+CfXvzPSySgQ+HpsWA84oPqUjJhdfu+GH75USANBSFupu8OuTTpad
1UToRy++oYuEdeI9AUjS7TDAxT0JenF4SHrf+XCHJH6gtVI/NIMbPGHIxxASynQfAfraGJ49fRcq
BJ3ftMO9D1uJ9gbJex8KeMpHx6uDRmssHZKayFJ98pd2TyXJI2FskXbgf8Pg3HMF63WjAvLgkfpj
bcyZFptXHmd0ZXU1C65JBjYLyWy2wUaQIPEQZQMtmNuquxR4nuFx0ieV8Yysgk9ZzvylNY2UGotW
iUKK29hW1XvWFg7RsaFCGC7zsCb3ZgYtCemz/IK5sfkojHI+1vVgfWDt887o+zhkSooE5MKTwPSw
PDLX57RZzpRgHLxTjk7uJUUiDh4dnzwE5zZx98zmHc6OHTZdJCzvVeMxsurk9IooKP2FnXjcxK1y
Nxyb6tXAA/dA/hsRF0FSvGqAMj8tEZqfKTjEg6+n/ohljV7U6MJJjaNuW5oF7TD+YZ4N5+gOcBJq
8g7WQ2d2Rz/MiP4gsD48d2S/7KM05HEmSSU8g5OTH7niRA8j0tdPtiiaYxGTb0pLbZ62buIIMHp2
/Cty7Pqu6KlslMm7ClKBbd3tJbMwPekXB80H9EW/vVe6D/c1EfEnAracnz0V+gMTkOSTRBj7gBom
P86+QZzNTEqYIUkdxRhprADT8RD6gYp+IOLzn26p9deuyLwcUoFNjJyx1eyuLccilNMx9DaCilvH
XbajmMjJJgxmGLZiXOT9R8R/ZIqkBZP9mqwaQlpERg5Z4C8JZIpsRdy/5l3naPN5tCexheGYnh2K
e54IN2u++akGfJpH6bzrlLLfr8+bXSiKsxC9yjF0GWUbKLQIZSPXGpOW0Zx70yQYLKkjsQQiDQd6
VdGZJPrmQCSo87vD/UgEXxYA8AklIr4+maJvTVx2PIBixOgXdZb1y0ireMvZDrs+VrtjM2u5aURg
nEuyerYy792RgjWXByAhI5ztzDn4U9GfkrwfKlo81X5MyGMHkDr/lIK1GAcx9+1KdrqeE8tBTAw7
YZdiNuakjVjtLRWIKFYeOTAPU5jqtSfz586P5h1mT2Pjx9l6VGRiEEYDUTym0L+u8uUkwjWOGp+K
O5AbYNI0bM0UuBbtgtOSbbwxldRPvc9RWCPxwELDikRzQP30iP96c3ImbRpP+INww3km5cgN350r
txAvXPVr7v+dvTNZchtJs+6rtPUeaY7R4YvekODMmCeFNrAIhYR5nvH0/0Eou1sRWZ36c1+btLTK
kkiCoMP9fveeG2rm00Rsi0zt8iObmc1fv1+8d+ZSqjgHGAarZsu6cRsSK2IpheSKuEnkGE1R8GeP
lu8i/6SlUT+4TYuspy9YPdFCYN7SnVMdhCXCr73djbfjQByBrGqhb9D+eOANNFHhPIuG5s2dWHbn
CF7/qmll/mQViXocShNFGkmt2bHXB6W5SNcAoXlyiIHfmxpqxyAbYgbrifRh7clWjbew6RgEELe9
nyW2iNUU24RF2vd6+hFdSvc6afEp7Cng0R3GyzCVhl/+nepK0jQkUhfkVsw581gYKpRnVl78a++a
r0N8DfGprfgnodKhepwMhibU0U23ruy4RDOldCdz6sx7TR95UExyrmseUknODTXPCIMhgwkDWbsx
Kede6KO7KIV4STAV2+myV5/ZfjQs59w5tAYm5U1CBc1Zl1w+Sk84b7VTmmO0cibcbUrl/HLSqMiy
DRCMZftHWnKVsGAFB9PhS5/z1P5CzWV5ATpi+QYoAtvMsmZS0pnWWe/abp/VPd92Qqnl2jcrThvj
MrnQWxTEdJmuJFhMD7beM0DHQahwtQXw3yYzBw0BSPjCIut8U9RyWbbfqd7v+54WtNzBd63xFtUV
YcvAtnkbzFSvbph4Id5HDZe9sdvQ31CJYh1Cy9TstRUPE407ugNLe3p/+cpq+eP8SXYO2Fspo10G
VO/zmY41l9+UBI3TmOpSTBatzSrgtk347CJkQwxWlBs4pCV83fYt0hrBa7bVE1uZNTBj/vn+6PwJ
3Qym9nkGGrnzQal4i4Mw3i0nQKi6fULDWl67lrZyWr3dmLaf38h3vfZ9ITAKNMjJDNT55wHBZIdE
ja2KrwJ2edaahLqT3nNwT37MZpXsU0tL8wedCPIiaY307fb4xJ4TZwiJIeeB9moqHNuYX/oqZelZ
ZDOZLjgXaus44Uwj4zE8DM2bGmfMWTFStL+TOVeJAyTsT4wDWLZmQmTUCEzLiGdg0BDkQXsRK786
DPoyLGEo6IMhbO3b3lwk34RJVbY2YdBcm2OeZqTh8MlC7uf2W+R6WteYBmkm5vO1XZr8GmOhrDug
Guxuco2H/24aBWZfKvHY2IWItic1amjYUHl48xERen8TCe6+R6vH/3Ao2S6qzfswToqau8NWGS8x
0LM57gcrxhDcVaGwTznrQLKTtA1d00val3dA5aoXHntom7bd8VcBbVSP7/uwrEM28SAIcPtSLGAe
3p+vyIDs5ySpKZqI30mqtjPycYec5hsfo/WFM7XajkGyuEKRQ1vXcnZQTYPX+31z/X5PJx1aJCZe
rl4P7hOll06AcSrSCz8U6VUThvlVkNrTFyXYRznVEOq3Go+oyxpG6GVTdhNjArSYa584TbXN3+nK
cx8ITsNGZ4c8zpM09tzO5mv288h+MXJ2AodS4+m4iZi8hdeBrTEPkxDyr8HAiIs+sOvpOqQ4Bayd
YOVElMZ1CpYe4J/dM3M8xqAsajJ1MG/POdCqQ7esy/iflsDbiL7+k+7+/lXjTrdf2Gqz0tN3s+Ra
lmGHy5MCMzX1i+epr1i9hblUcDShzzpppwV3KA9l18slzyt4C+qxBvv9aC03k6wMn1XRJtERErTX
n99X1NxnF8aiP7j3mKoon4R3TDJFcMzG19LbPzTXN1+13l3IWR3RpHiN59rvYdWH0zWqV6Nw1WRV
dcjegXwzkJRm874d15qZL8hYrsUEq+QQE3+8FiEhTW+elhtMF4KyYx8SyLWK+G+mlXF2aQCHrllG
zA60/OLNxsc73urLKXyAgG4RPNQTedkvvyjfnouTRG9FDog6fhAcurjRh5BQL1V7YAcXlxq1ezTh
htTEMTxWy2YMKEXGAligFXSEAOTyNGwdvrm57cNHJyIGskqmWBw0Qs63NHV2OzduykedgGGxcqZ0
kdFRVd6XcY4w/j2U4Tj1DF7g0E/psJZwBi9MUgxgm8JkB1xmumdHyXT3/dAyWTaiQlpQ6ISaSOIJ
6/m4BiMUbjok/UuYFhZ/iW+xoIdyPC2T0stuaQB4VwWxqaG6sJy8aRPK6co2awWASJu+sOPglrF0
W/sRdnbznMG+3fWp69KBCfOAZ+2c4vCD3y/WPVjSO40l+2FBHW4bteyc+9y5yNuwO+UZcwMIieFj
XQPlL820fJb9ZH2Z9DTekpuw7981139bbH5HLqQfnXnI/00uvMrblzoqPthrfv6ZP+010vqDmYlS
GFgkCcZf7TXK/kNHvide7wALMkwLmTtfSIj/9Z+284fr6LhnuBukZCjCf2qKbvlPlv4H431mYICY
wA1IJf8JuvCTkm4ABoIMhMjnLIo6z6GPE4thTpXtm7V5ahd97bKgpsW5tNKeEcIvl+VfuFo+jUZ4
IaQcCERgFzk3srv6+ELtpJmtBRfvVL3j8jSm5q+yDKxma2qaVlCkvpyw/+FrYkAyDQRER+dlgQN9
fE3pmlR3wbrgUKDbpIZLUrtPiup4d8az2PUJ7XRmnmCe+p8b4P/nkxJB0/mcDv4dvvTPl5QuWFe1
pt7DaGjqhCqAbMKk09NEfD0AOQjv7NFsgvu/f9FPQzqUEVYlLDn46vAOMaz7+FGphatbDKLtEVEE
6VeYpf2CF7A+5HUaf/n711r+rl+mXLwW+VCe8oYDDo7a508DQWaFgZFEc3NUdREEuwC8eGgiQLGm
/Wnt+z/hVX/9WPYSduSjmTo/kM+R1I4UU1OYqjpmU+84a0oX08eqHojWDA2V8L+Zaf2LV8Mww71i
IhNb1ufxHbEwaBC21RxB+Yi3svcNDoedrGqItnS7eL+5jEtm8uN1xHiHs81ZLqWDdPjxOwtVS8XJ
6GfHMaSWitKiqq6aZ4ntqF7RQK/ag5l1sEl6Bix0J+P/oSMvhft/MCKp64hGTP/3onddtTFEZjfb
ou7IVUQxJ8sdeQ4eIiuagYKvtoab4GiGysCsqwCTei5H5AnutT5nu27ojGgvc4Qansb2AFppIoxM
9sWl53VdWmRMT9T00J1JYCZrnkFD9/G60aswPYdmazbbvLd404TUgvlYk9QMDqODKe/WAjzpHuGV
Urvcd3ZK5Wzmu/5x6fY11uWQ28411QuYvuGZ2L27invZ1+aiRJc9GoutqlZhr5rp/P7N4vDXL5ur
Dy1MB9JAmvwzxCvktIxhTWTHGRmlPbjsCSsP441ZP/qJjvn577/tTy9HNtOwTKFwTErAYWJZ638N
0MYTe7xAlu5hNKK+uzJ0MbD8VLUQa+b/yvzNzQUC4OPdxQuSYeeFiE4s9xguzA8vWFs5VdK6bR8I
DTpIJ2aurNuIX1nswuVqMZVxlUNC1RZ07oTpwwD6hkQbZ4BoSggqWuQ0kz0okkmEm59BvVqiOHMy
zFrfUI/TSODuoh5Sy582DIIygexbqvp7kkymhqObvZ7WruNodFwvoZ5ywTwiAtTtNunpH/HItvi7
GmPb8FiKlOnO0JbMIjo9uGduHxMD5D6Jtjwe7Gf0SfPWkFnTrMPRgvmBYY0KKLvpoFgQOcQ6gqg9
YsyGNkV0FvEARwnHGfha9+DqpMrX7xbzYyiRBm0gRFruvI1s+zs0EG4Qaz6VfdVa8U4T8wC/2qVA
4yhZREuTlNByeQo2085lnNHMcTURQmq2LSNyJ/bGSgQDZh4tczkMlXlI9j9uhhn+vVKU2cA6K3qe
OtQXcMXHvOb4kVammE5QJfWXuBwGepRyxYlpRajG6O/B/w7NfVWUpraLqT0G+BEHNNo0o4jyQxcW
GUDurID4EjEa2PV1zeAENnPEvtCUXt3q2VVZLDYYpxQj+BiE0uZMQKzFpx22AEUf0RUM/WRQy32p
UQFC65gdUApNtBkLkhvYUFhCt/TCkCjuEaxn427LxpcniEYIVRArVLZpMyXv2NKLi47fPXiF2WS8
7ajomI42u92ok/FlzZrDO4r0xzEbg1XS1i8OwJJHTTd4PmYc1jf2LMp5Z4jchrBmWhUTjVDJJiZN
im2TkEmYJWyQHRXsWhnT4UyksnyZLTp2VqItgZpamt4TLE9ET++SkXc0foRC4q3SCJnNYy/MjWNE
rUkNr+/H26l1g2eTyoHJ0wfLx7Q+wQ68Dah0edGxysm91un2HqfkxKeY/eFozD7rGszdZNh2lKkd
CBuG4/WUmOXFNPQxAQX6hglRJ9jfkknS69gmoX5OZuBTuEt1U6PBkfe9ccKCWThVMkRgCj1/ycyC
Htx54dCgXFWUF1TjfegW/ZPNZ8P0jG/rMYgZ7wF2dqtvIC+N2TMQH7odpOd8QqhAiAVLCuV4xXSU
MohGp2Z+VWB16z2ooGn0ond6NL3KvoteGiyOO5eitGciQtVuYSgP0B+rVlSMQ/mg00rh09lUUk2r
sZOEOwGsy2obiLZ3z5kSUbjl7bbyjRDM9L3k3FkcbS1O+YgtzXzpOiBr94P8fI59OZJE+6A/Wkdh
mqXat4Sck1WS9l3KQKk1nIdRd6Niw6cYGn1FsUzTP+Ksso0dqmohiaU5M6VhWR+JYKPx5A+eGJjA
ivYWfIqOpWNsG8eUl2Mx5TMnSiOvGd+DyoAlm4yUsutVF24c5lY3k9vAcSgL0TYPjEzK5MJ2ayme
ie1O4Wnu4HdeAPEnRMVJeLpi8ZLJHgYGKjrG5Xw84v2cUrFS+tCGzJoNQ0cnWGqmGLUnHcWT9oCF
MRjSmzZtZrGpy16fT1YLZZtsZCsIpUV2R3AUR18sLruWscvGqcOOYsYuexjjSmkXYeRQxJPIxKl2
vGPVP+FhdJstt4djHqE2zn66qXtwFBdyVEN0kfWiVl8LxMdyK/SAinCQEUF2kLmq6p3ha5QCBHEn
sMMYmlEeAWOhGnCn5ON3jR2W/UWwNkfrrqy07BhkvHPs39T93hWlngcveeJYZBplGoz+bZGJRRjr
02hciVz45aZBkA+X2YUMbnDRZtWaWOcUQqDMy9Jr7cwl+INomtFhDRfAeAC+5IYXE2QlXDPsZhK1
ndLUMs8udcEUKUi/4acZgqTynwnX9m9zEFTi65iK3jxP9lTE+5FSB/tyJMM7pdihOUbdM/hTxZZ9
cGpeVAU129AMCTauQgB65Zm4TczfOWissyunztP5UWtATzAfYcVo7olkCx2lgG0Uq5DBg6JU25K6
JL7QOZJO/8Meek1epJCX3Usj5tb3xolI6smQPB+OBqlt87KWeVuQDGrm8cgi5WL1iQoz75jplqH2
lNhIbF8FIJLqC0l16AkFpRfO17RwWuE1NXzlHZCPtuMHPpqvmMVpxiD6o2YaXXwcMwW28Cm2NAv7
fpEqHEoTN/aVYgYdpJ4WhLoZXoTAT2X+ovfl4Gce0fXCWTNHSogT9DUQJHczVD4JxX1RjHO9tfQh
C2gVQiUHSueFmoEPpZs0IZMVjiBhhefCd22r/4ZY1txRbJlr2ToTYZ/s2LxmNGRzx4yQ+lIjSC9h
u5Xhime1yDcdSbZqFZs1NhKcpBrD3FFhTOLV59rLG8QUKIx2vbXbIUx3qp2oTncc9jdbhFDjLsHx
LS4btFwPy/C4boWxEE8GtU8oFX5sXbKpLr5M6qDioPIkuJHNIO0e9T6vGf1OIS+fypDeRXOpJqq5
JN/7CNMRrDFV3PItUy8Z9+axZXvhsT9RLw4py02CxOq8lZ1b516zTMV2YZ+O3zDMgxpwZ2MgsNd0
5WuF4l6fJxzQns9o62bkWXU9pyS/rWKgD28e4iUmOdjupSRb+TIBs7ganSjtVnZshdsoy8wHG1Tf
Mvbt2yMUgEzRlueklxyQC+N62cGG+BWK9snHyX5EUuzTeuUv4DcvmEr7oJMNf6OGbTya4DZcUlxK
5KuAvCfLbNkYr9StJfaFZpraRgOgBv0317tjaZaaF9o8yVch2c16G8iAIB9GWsc5kME0qtXkzNh4
nNFoXoGklk9h3VPeYVGk/Y0i2HAAFEBQ1IhFddGk2cSwDjti4sVmOz1aJXWdMqMVPtbN4Rz7gf5l
Qmf42oxm+C3iiXVMmyK8HuMQg7ie1ztVGlCtQkLYLanJNTugxKW33PRHtEq/PuLrKp7zwWBgHcow
eG5nsAJhQFMNXvgHCkLSLwn64Forh/g6F4qkvNGqXcYgH5i8K15nMh7wqmXCM7FpsIDazaaASXNL
0VGBj3sw0tSDpjGibTvVZW5BFyTPHvaer0RW7cxMRm9YUvW7wgTtzTPMUA9UQjvsbKVbtt7YRJq2
tog58qwve2ogIiq91pxZkYKnamoPqZaUlwxzypEtVIlrQsNPmrIDJdIgHTm8dLmh7/AnazYUvEas
DZLEoF9H6xSTAb2we4ZQtC7puMF8+452N+qyrCLzMGao71Ao4peuHQb/wM8Pw3qN5/jO7abgTEtb
4K5CVxdPpRDJzQAL7M0oacZd9qglPDAtyEvPbULzzoy62brWZh0bCOFq/aZIYlesSxb/C14/hTrA
mLbOjMk4JaNe9ZvY7RW9iGSTXcBh3Y8IeOZLiu/F38/L2eMkoYfNjCyEyPDJGVXNrWnNcXO9eNWq
eJtoM/btxCro6VwxZUKwoTmXQy1mIZ3/SUceb57LxRF5N1Vo1TtM39B7seTiNCGZPFEkK8xYOAxd
eaAYCKljOt5AwMARAhmuuYbTzK3vdC5/mEL6MtkkBam4DWnrKD2T3NGzU+XrfnvoAVLwzYfpqHFz
9ZQbMx0q8QPwRiogkbxGB9pDfuO3WhZXA9aMZksREuMYXWsEJxUcFNkpzzvT1lbvb2H01VDgJB3i
ST8LxjW5ZN2TNI+FGQbWXSMlcymDeHe8A9fM34dThE/sljXoFMsXHBdWvjQ13V/DCsONsSbUR1/W
KqCzYXkV6JG82RHoeT97PYVMyUa5DfwXCJ88S2Pi+vNjWroiO2VFKLrvvd7V8YMDnaP3shnI1+tP
5S9XNLVfaDw0iqtiqBjz/fzff14th6hnsqG1UR954MduyvCeSzyihjXbxli8dXieEAgoqhvbCxBy
Mt60MbZOjwtpZCdG4ggHwoj5vvtQ45My15PmxdBKNuljZgzTFbMzNztGmFv1PWNkZRwyLCbZidix
Ez2HmTZOkEHV4NqP0oGOcz8U2fLp2WkXuVcYcdL/aIucM48XdqDpKe1ibOisGNtk7C5qkWOE3HbR
u8YTDFmSngOuubGPgjANjjX36RuEpNnOsOQG8LBp8lLaPi0D2AqQRwaqkVoH5AfpO5HtyAU36VqP
xpqdSOi07hZ6SpyxwAj9LkazCYILyHp1sBMiSvpdGlgp6ME2IF815wK+Cb9vZ773CRIk+xIAk3Oc
hxYJKAVNALcvxUeEAbGL8BxKQ7wC546SH0CzmRf6ZZhnFXyTMaqQF1pIdni3yvSR7U7b39kKcOZ+
MBGbCbnUNs2OmeScbXRDaO9dl9PPiVo4pz/TTOeGZx7tYattdOYQ8kYJVsOruG85ZTf+vJxhk0q0
imn+gNNwHRjwqtY0p8bzow42r7/rIJkAxakClvJB5rxtc7T50xJH/rjTh6AUK+xVVXAN8SOBlzcr
WrXMItLkhqayafL8zB7UOnD1Oii9Bo2KnJBtwTMOpJmbpzmf6/5uNCoNziAIj+XhFTJp4+qkxpMA
DlSf7WmOxoewkvGIj9Ge+umbxoJk7VVGDj1a943GVY1iBynQSyilXNwVuI8hNAT1MMmTxHBBl3o+
R0dgRvyc0noikyVSuCGmNOQZIHGncJ3GIl83BQmK8zAF3JNDw2XiY5r2dU5N1y4xSUS+0VFAOPwd
A7Vnm80PpW8SOKJrLQQ38exkSEbHMV8UkhhGh72nC9bPPaM2eBRVU+qGhC/LMfkGxx81IavdBbuo
JGHvFSSRbvxNDuOvatV7oMCm8EEotKhPEq8hRoMt1WgfllI28MzsjOEhznGWbQH9Euh5F8f+PV76
3XjJQaD7RUf8S4L7uo7yb9//Y/M2vNRv/wFN7yV/+zBr+vkX/DlrcvQ/lFzGTCYxlPfo9f9Gua0/
GCUxLQJC4jAQMfjG/5w1EeUWMGUBDzNWMlwyLP87a7L/oFxE2iALUQrJmVj/ZNb0Se82eU8AswRl
FKZElvwsr+O14lQNjGeHWCmf2GhTaMnQ5/uU4KfKbdWvONHRg+tiba9wHP8zBfbny5t8RGk4fFb5
SW5nETQ1ZzbVzloapSaj62jGGwaEwEBtf/mS/sUIiO/wV2V/eSnJLMZlviscqks+vdTMHiBqw4KX
qsLkAD/I3wDyNe7+/lU+/Uj/fBVSWQoUKpOE5V38wmTMNB5DdZWrnW1lrzWbw1UVdscEqNdvrtwn
KfnnCxmgCnXbcNGwP60GTqgAnuHd3EUDfs1yfGBdfwmUfVdxhmbzOP7m8unL9fllMvLzBfknoivN
L1zFj5+MOgk2iBmfbHYAaQgDHgig5jliYq9EvQZ7ZIRb1tv6G3ImhngFGSYZDfdmYmE/wPpusHLn
ETT4eTh2aFYHg16c0z+9/HIZaaLnuzB1aWL7+CadDDsdjwJ3R02V68EbbFfW2PzA3hf9Bv751y8a
9cTEKCPgFuEV/hR3yliIK2zK9i7tKrmrZVBf6QqTqdDb6TfEg7/euaA+2QkwruCrFp9finUiqlOw
y7skBCU1Aj88ODry8d9fOkJ9f/mGXcWujWtnu64BIPHjxcu7oAHUpCBABo6/6UUfHmzYkWsk/Ayb
W5Cm7lbVU4lmXyzO8q6IEaWhNHi2PhpeYmbardTiZ8IZinOSNg3nwbQSYvNB6DwEtj7tWnx1PVJw
R4e3W2XBTo19t9HtqYS8M8KPV1O16ZloHbUkNVddwFagQy28r0Tk7mxNFmvoEpOiU0RLN7xgnGPZ
7rXDRKv0F6cL9H0to/C5YHzmmYSBccM41tkZXJp+le/uexGlq7yr7Subge8mlXHrQbIKjxQiZBfU
j+o35CpTkuWxdQ3wOnhyitG5Ekih5EcmtlhtkTRrnGsupWtRf01TCIDXUPtONXPPTsPviTE4bfXc
6LVzYUcYaxJYeSfWU+vkw846Z7VN+TxGdwhx5sApm7kKZ0mnvYcXpm2j3NHBXbtV4aWiNW9TOSUX
ijY3JoMyuA5ap3ob2RffZr1ZQ8zFoLoaOsFksAqHVd+wm15HU5wc4tpmo4UMkcOx9FtgbFiVt2EV
6nAb9HbPtj29mugty1fCoDeITaTTH3oE7OvEnuuvuL6eRF1w5AqMGRp1Ruv5D2RyNG3BhTAq8Ya7
U+0jBokvlIhmxaZoEoNIXq4u/UKiehNCeza6pvEEJ1GXwYy6KyiaWIeEA4C4Stq2jxEZ3es+S83Y
g5wTDMdKp2utopJ5OVUhpDoIGnGjMy7JpMaYsrY6smJ5Xz2CoCskmzOteNZnlEqcVSImeyPEiYbr
4BYIkOsFYG+LdU9l9jpp4+YQh8Sad7qwquccIfA60fPT4AuARPEJCbX0kNBh5CqEvV45t8PcuCuE
aQYOzAqPRtgX8nmSTS3Xg1U9gga6gM9MAiWwxy/GrE3YGKPkyQ31EcQE5Qk1sz297zQPGux3FXGT
4Btrn7sKr5xVBeKWmVm9cuPyqcnqlsQWQ8jTlMLmWTcSTr1nUeAwrQlNqn1RY6SWje7cMfW61zCs
HzJGRWjGzA53Vp5bN2SNaJLv6SsIH7U6cbl4KrrGRjgcJQZOTxOFv4ZJ5a+70G1rSB+ihjqAjIwU
EH+t1EKClJU8kXsjX1aOxqrmYoDYN6tnG55Ec585CfMXqdJ5Q4qzhAsnB//rXAb5loNy4RUL7gSM
aAbagWnOw7Kp3sUIUd+mqCi3cZIEe8FcH0Ad4weHgM2p7ALZeoohEGXZtZtuZW5kFHILSibakSmD
hqKVTgMN1rpWYNClKfwhQVim9w1BAw/uXJ0xdQTAFbBl0QvkklIpDPMm6fNq68dGfoc1u/B0UwaX
U2CZFUCssftqDXOysjmG7GYgEWKTmgQjHQFL8gB9HalS7wPtJldpvtVbzb7325IJps4P+WyNdSxW
zCKNebPw6PdBbSgE2CBLeQOTHWor2oepuKibZtiVVmldU/9mbUfRupqnHB5J1N00O1OCU3HTSLZn
x01y4JU+xr71jBWSg19bWOXGDed0O4xhiwFY8pNJG1XRfBEBNuYeKLeyNeeVn+EFhWhHzom81axv
kxAXOqsZt3OUllSwlZ0B1lc8SrIZm4ZQxQ6Ken3GCCWvXNHlpxqoCsTfYNpUvdV/GbsuuiSJYr3o
rV62ELOoVXJHLdv0DX8f/QOT1wX8H5NoHK/xixvHafTd3EODKsTKpSTueeZod1mPHH8NCqA3VCcm
GwHWfWdNhnapTYF50KF0bUzV/aDqIlgZVip3uKGdddBY9B6Xs8cm2nwYW1DtDGJLZrUWOMWVTY0J
fLdZbiIe+0fdbR75Gpx9pmr02cLwCb1RA7s2WB+ehKuJq1YnPEXFNs3IxP4ZcXDwvsv90gZ+aCZr
l9CeN4BS2LPZsY9NX9+EdjbcIDxVK4fujy9VppkrVFrzMDlAGpWVQtPE/EFDRNA+UFuNDMTq/VWm
Re8R8BSHAJDXOqdt7QhtZFrVZmafS3AfXkntqUcPO5GbeiLrnDR9dUbVqJ6lo1vXEtf/kQrqN7Lq
5iW5Xm6Iihr4QEJ4y/q+2XJ2SHGVuhXBXF+rfjST1ZySBCpKBjP3pcGfv2oL0b3hqKA4riDBepUz
OLvwgbS0ezEU+h4esnmXxErbNanltBsR0VNbLDQVJGKwKCpz7nHEPSXGHHybZjvdFIE+Xvlaam/z
FFZZkCDMzLl9EYORWDxq81pqbrcBVlw8NaRP7mffIusOLIjCliqHzAkRMmdmbWg/mLV2a6v0WfVS
JAOk+ZERHgiHreFoudfFpXOlk3XYp2qQXqnwNJugdbcGVRUPmgiaHVttEuVEI1iJjBpzf5ebN33L
hxjqVCXruLGqgxoLCpXC3t6+P+gHo+7WLkMufM9LCFoHjL8iDPhYGRKTOhDVc6FX8Q9cPg6ugFJR
pENVAVs0y+trCeSnap1d7AzqNHK4ApWRk9ElmnqcfKylDqHLu8TRCIcJkbPHdcdTCJLnQjRGcdVl
g8N0znxWfdivfd/qNlEZvVpGal+0gMq9oHKLL6qdzWhnF3rAr8/0f1h4+bUTR0yY+QYVQNA32uIN
1Deh7JLvfdNXpn1F3LTfcbNjkyBoi4gDvuJFD/oJPnbpjhd/v1386/mD46eBGAGCYolDfdppK9fk
Mqe5scsj1YLyN2gvq4/2wM06RFsbIvDfv56xHGg+nj8+vuCyIf/lZOV3/tyKuTB2TS4fQ11t82F+
YdK+Vlq70czmkNrljWi+l62+MsWwH535RZZvrdGfR7xMNQ0TtkFSk0kIUKHrPmk2f/8O/3pA+vgG
P22f60bX8sDlDTpms4ksZGVT7HiQ7LLqd06iT+h/DJTL4d/Bvsnpw+Zx9Om1FLO5Mh4TY8e3sGbp
fMCyTj0MeqHDvDEJ4i03mWdlhlg1pfYTPvJvZeh3ypB8P3v9j+/0L8oQxe2v37990IJ+/pH/xvqh
6ixwPnQIxxF8gfi/lob1//pPMrd/LIZfAHMmNaUfsH6O8YfDwQ+PrsBNypQVvuB/+44tKtMty5bo
+HDjaMz7J1rQ++n4158YQ8uFxG+ADuQUjSj18SdWFpqCgFYG+2iBRV46Tjk2X3jqWo91FkosVXK2
QLuvZbKg793q3ShHwSQTWawfLkyrICdnsSFJ4XTlFxAejG9ALmdpgcAN2qyJ90IVc0hUmqeHduG7
QUzOBmQMCr4wkHrXeAynYiPzqCIFaKQQAoL7ZuL88fr3v9ZPBbbLT4g0GZ5ZpBr+RXyGGNJCq9uB
I61d75KsvHWZ6buHhMLeyaO/01mMGD7w4h22XY34td3FevFQBCOWt1DWOVY55pCF9hUOj1lcU8/Z
z/vCYCv8m2XFQKT6uPShWQH+loAHBQoZQ4pPWg+0OGIWJtbavOlNCFQyF0Z9THqQewTt6nESroee
Dyp43bJ5LsW5T6S9YTPpnlQfmDs4FvhHy+EGVwZpYkw+3qyHYlsKdl6gPdj9UxpR0AbHbhiCf3ci
MTSfMbRY+DC6sXr2y1RsCT6X7KdqX78iVTZezzrP3HyujI1Ni+UrGMjMKyKn3dVdmxK/1VR0BqqK
Z7QO7rPQX0DDANRnXyYXbZiNe+BT7f3k1i7HLBc5qc36S79p65sJg9h50SUPKc+6BBsUoWgqEfVV
FQ8zQDRXf4aqOjCDRq2i7aFCMQhlsFFYbuAGuFGyMvTBfSqyQt05DIZv6jJ1Dpomw8tBUlmz0uq4
2szDFF/42RDc4kt3ib2OFce+3N365Iqfp7aZuD3YHzC0tE9tWasH7PL1g6o5bjHt0fAQ1v5eq13z
bhKZuZlzBxBN6TK6aDsXHyeo9jvaVUogVKNstn4t7dfaryKSV5yA69Qu7izMPB79XuYOWx2YB1xZ
TLYb83tdFPWrnmP6jSZf81ytLFcN9aqvvqEHe6IK40FAmw8IIVUzC39T7oJxzA+2j4LKz6dhqhe5
jOQo0rzpTcASmwJHBNNQqGC+Vhjn0MLADU6xlluRde73ZLZvaw2Hy9Tl/bVt6fmmrtHxyPHH923S
VBuuZ3QFLsDfmTMOmrUJ1csLMse+hzKffnMSJyIUNFhqnRaM9iCBhpe0AGCtUy1NnFmbRStI2s3J
kqaEZYg7ofS5wCa0tg0p2eS1VLK/aEqDLA4yEjwMCIF+6KgD6CFm3vRLrloqpA5Za4m9ngr1tdWF
E6+zOVdXjg4WXONmweQ4hqSUht7kRDmk+WtTziDX2Zg4KYU1LtiUMQTIO7ay+EIAbdj60yj3ZpDG
X/F2qWunEgO9RUqnet4w9m0DVafB1fOYNVU0rKasEnWyNiGlDvJuaHUZFFtVgLaq8bc+dZpeXorS
NUgOVoX04mG02ZcBrtnEc/n/uDuvHrmRLAv/lca8s0FvgJ0BNpm+rMqrXohyomfQBIPm1+/HKqlH
2pluNEb70FgBA0yrSplJZjDMved8514Qz72uKlmvs1xDJ1nGUAdK44U29h3JuyN0yHmCoFib4RzA
qiPlZLDXhezJbAwjiXeZPNHYr3pvFRdaS73VI9xCvKv/PYQYs0JEYQ2eoiZLcL1GCE1KhfakRExS
XNb+bOzHRrT2uhvANBQxDlDC5ThEOnXB2azkORG7BILito5SBoDwM0Oi2MzrFw3RW7uDiDFgvu0Q
j+3MajLLs0Qz3P7N9ygSnwSZA6qF45TO9GK0dBetidnt2eRIat0NDh9l7XoKiSNFKQiMqFdKFXF/
ibRQR0I8R9g+lNfxoGiDQnXwYRahtL2Etdje4nIDGDU3YQMZE9ZxT4fYvBcpXT/E9Jln7xUn+wSs
u92nMl7RgO6QZM7QHemcIi8m1YskO+MFqLMElRDZA5kd5xHMTUsdWRcsVjtD+LmePNHQt6w3uIpY
7dYAeuie5mrpq+O9n/t1bFNrqNZ6ZgD6It2qzGmU88WPO2S2MbmQhJrTPeQA0SfzqUlGWn/ft5rf
4fVHa0GojktD99FDTRIBxxK0a3U2czKUicZBM2eh8puNHlOtoAub+hLIIZyldGcWig9R93258KDA
r0fr1nGj7GgTCtWeKtLgmGFGi1+K0bdzAqfchca5UU7J8Pn4DzBDTrY2s7Z+QjvhclGpQZElgMLn
H/q8LcsDIWdI9k/NrB61S9Q9ikazSWYBS3tkU/RRG1mZEpY38bNq11tx156S1uAu+hHPTvSzoJwN
oK6YHvIjQEUucMT8R6O4tHP9HPRhPIVARmijpzpZBze9GwEs7OpS8hYji3GqQkCjwcyWHwCsE5qY
REuqRa6pPtVzzQUGRFzST5+BBW3YWqCXrxABoCgfMJ9ysR9eiJgCEgJ/YVbZlwzty13TjPwzBEc0
n0B5ZuNupvbVLv7ZRZfgt7P4rEh6tMI2Yjvx6LVW5TorkgFxyGzGxqaaQUMdpIu2RrPDFdDuVjBZ
Je7Z/EgYVYTEHS+iD/s+L4dMbbxcxFXo9H0dhxqDVDsQ5EHj2JsUdRsgrQwpBO2iQess1bhupHSn
tWP3pGOt0Ghk2pnZWQ1RbGZLgsKBcZRmezPzRL+2Bbh7KHsIa4h5Nljh2zAGawBGfqpdEWKc5VGM
ajIrd8hjkvnCS8gmQ2mJCnGvgdshFKzVEX8geaH1PxoajWZQi8UdDBaJzuDDcsBxEIuERPWDSCCg
yEAdIKCanhm2pTbQYMZomwWKbMcpbjAVUEVzLFJu5LTc/gVaewGnZihCYuxzEjHQm+qM6j63Q+z5
TJG5mfCbVeDG6t6eVJ9sZ6tmcA6WS600F9XEwRueA4OI3Qc5OQnVRqBSsc3wz1KHe0+uR+Ic9cnw
iiPnZ9Aqay2bJP0BBH0+00eZ5MfU8UodGTzz3VvtROKpchFuzvvZAal+r5GlgIoJwdMGFJZAlK2o
Abp+8QR7pa5WynSOgTkKWhl40DfVmEzqFVES8lGNtx9WLlmH96rqZXnGUJH5EaFQvOSexMZ09Ksl
5oGZaRDESvTVym/Nfj5LZle/iGu7h/TmCRspF5uQQz3GyWvflOUjKEHzLc40QhSzYBZIDbD1+8BE
EjcOTdJv8IXUbo/wXTeAjBk8KBg0LhoqI3s/LrNNpQ/RK9nJpPXUjkl4kImo6LQjc2gDG8MNi6a0
gYyCkrlEUyfPqtjW76bGSs5rSznryPL0L62lI+DsYJJtXUk0SIjUii9GyAzwQAar4xX/k4rWUYWT
L09bf09prNulY0dYbG318wkLnrEVbGC1VY3ZR24CjTprqZfJKf7/nGANYmdWnfJzEugMe1wbKoH4
k/ivaW7LR6IezHyPS8Y90RugxicRDfMTIlK1aQ/cePjEJ8mekPDXt1WR2Q3xoQ2bYnN0EMjCWt3E
avSm0HBxB6yF7SDcoACGbKdkYFWWkn0I6qTRMNEne6/suxL5WQI+L+O34hPo3cGJiYTp0phjIlZc
k7tZVI7Xr7MgVdc1Ulj9iHSn5HXaoTvzfJ62tVPp7nTSgsaewqZu3VPmDY1gjyqLDmnNYgpVaOCx
sKO4wrUeEUOgdCwkpj2UD+zrZ2trtrbcwh50L4epIQLEcfxN0vliN5IERaWR4h5b8nGMAD3Zfoaa
TuUjcqac2mnqmQrzXGklB4rPzQ3Nne4Mu3SzYViShzNyT85mKy/PKAaTkS4maGy+AuMZ1kNsX1p9
wUpU6277edDL0Vt748jPmMmGrVtLhL2OYvXkO3Dg/U62XYSNTMsdqh0bO44PoAdjtbiJbTkceg/Z
+6h30YOpnNe8nxbHBE/oeZu3GAqqXO9u9L6PrlyvBNBIIZZ4u4EKF4FBMesLYsmyokuyKlxxOyGI
mSEHliShkl6RrTiMOY8k4ngPThq1Ewb/NkZPN+juc1Y3OICa0omOiqkRQw2GusvRbHM+vx4V+AFI
Zz7HO04ryRDi0pdszsgTI3na7byOXYpFiAgoTchioNRgI8DgTQ50h/QMpklePoIcLNBLt8xYDhW/
dUrk8NpDVnHGqUI8m61W72FOdOeBhSQW68uCT0n0DbUD8cXPNJ3CsAGts6iS6HYAgHHqZcrf6G4F
tEiALEP0OWhiTc7HrsJjf2p6VGQRUXrJlt5idsIIXsC0rcaUxZaGCBU9EtPRGBH9061BT5wvFgq8
RDCOJ6cPkOI1Og0piJExImVfq45s3iqSOEaWAGaX0Xg2XET4CBs76wt0DPscwGfQrhw/ni8Niw0/
DfkIL1Q6uM56VsBrQ7Jhx+pEdVXwNFucF5B1eO1n+BXJZqAqgHWpitieC13Tz00EU+tmoI/MeggI
qtWDmcOf8s9noKJh7LjJuEqqihpplXjmDQy3R4sV7sWFFu7s3MK90YAwmexMVbTP7WHa29T55qU9
XF/baU+SmMMMa+8a4BLzRkoY8GYu7bdC+fq4VjH0gFWLq8M5i4rpiTZoGZ9ThyOAJqIQfiPdBM6n
nRTXVZKl90WCSSacpqAOeaykSZVviHfgnYzhlCKLuUehUew5slTHbLbHAzINljEI6/N2GJzxyAGa
nYT0IDDqfjoQKImj4bHN6QZySo4jwbGjkfAgKGBs2yT2qRtny75oDCzzMBnGoNa9MAZAaZrsYCsu
QUPz0LAieGgz1+iG+n7FOfze8pTY2LEjaPuWsmDbotEZKdmOhktWOG4RkpCwlOFR/tTZpl5zuB+7
6ywv/Glnm27+yjrmLLgiw7hySzhlgfIkQLclB6cwZHfd+VUtPsGF6Z8yvo2XxFyapt3o0EiaowiX
gM3iNoRmPVizR4yXDhcUb0RwQ2I1+48BqIm7S+weImFtJRLFeq1sY1+zXVNhOqPtzx2nyXZZ5tjg
NJtGd0/aAdXyqtRz+ijoEfN5Yw6zKLYStR+98rmwx1M4q1ZyGnSuFd3YnubW4LaGtNynrQCJUUJa
k5jZ7AEfAeF6OY4goyqaE5pwvWo3LfV16W2wX0B2mOe0rE/QZYGCommR6PMlzSULPjybOD6a1lEU
2Dn0RvEQgED3nRWKL60hyqGvzT7Y47WbqnJloA+K7wraBD67Wrin2q7ELFjdQccJnL1dJbX2WaGR
FU3YKnQW+tqHjejtdMab9aIST+/WvuzTfl2ObvdsQfltNk1lT7Bbm5Z+4TPbvtZlKzUtgT9h0OF4
PwyzZkbHWAf1CJVnMKr6hqycKoaC1DXWY2VR4UhWeVYvkE/H9vIbLwpaBZ0yz0prhZK3yKp1kOI9
P9DAreYn4BtxtG5sMH6nPedK71xU2gjzN/OD8gE+jaOIy7GiXL82am60A9TQGO0dbrtacjrxVXmf
Jn6hszPuS/u+IGzc2eI7tasN+Fzm6LgYZ3c1gkMd9h66852Nv4umubCLOqx7Ka9lkgxkIutxwMGV
U6nnQCwqMKds0QDk4lNFuGl/kIMjLuygHKaVN+fkHjXQUlJYTa7LyNQGkt4KZxSfpdsNrwbS4S8M
cnxQZdQ29OVs0ot6kzwnOKBsjRvDZeKPO3N+pVjLbmsZ6ym6KR9GfuOB0JK1Ko5oh5MnZ6yqm9zp
ZnCAmZWF3AW8O5FO76uyryJu9wpSf/aMgmo86aRZbr02DQAE60Zw47StkR5munMw9L2Yxp5q6ccN
np8x7gt/XKMVKo+DSHo3rLu0DdYCwf6uoWp3wAc7U9lx3AuRQhcLC4MFY5XVmnetOToerIjAvHKP
NdbPVr07BY+WRvBVmST6jcqb7lOUJtED6O5519Fhd9a9FkeXvQ2oFHFMl7KF5obXEMD0dMPE0J1S
TQjCwCGemhNG2WQsmYygVRpZ822TjUmwAS85PBaNUxHz1/QPNDDx27XCeErZnSwQPXf093BEK26R
GOpNjv7wXhvq+hr+ZVmEmZGarP/kO04rbLnTFTljI6sVPHp3JYZKXgLgS86IIwHbVcTGDlRQfMdO
tjGoObn1FZj7ut3lIHnJlmSPfKibauwPBIEUt3aayzsorNn4aTZoZoaoaeoupAHYcxLEfHxiCdu+
dgeKT2FuKOsVVIw4y/W2PCd6tX8gQ7E85jGnwV0e6cFLZYDuIh8T86Rtjaw+VDNr98g8KD4FyZAT
SF/rhB/EKWZKHxDdxgYTjIGQ9f1Axlf8NOR6UW1iWE7dDrlAuQ+ETK6nGP6TBCILAa63W0qVRrG4
8vS5fyxYWcYN7L4BuQ7efm9d2QkkQ3iBt3XMBOBGrnvCYO3ezEIMd06d1/Tl02zAEzQVCkNT0z4j
ChDTNncacTRYz55qYxJpWE4e6N8ij78Esd1TeBUWHudEteYO6Fpabgp21ASjsjuq1rWBk4Phlkyf
3MiYaCVELb3doZ/105LDAoRVm3P42qfWM2xzH7kmIm9AtqfsgYhPyPqecUSZ1j4HtDlkx9iyCybE
pI4e4LnTSU/jVP+C1AIOsmBRI++SR0uQBIcEYpwnEsKSob1IjZhMTN1pCkyMgD5kqNqRFdKy4luC
0DiI14a1k1R4tA1rcV1BFotoXLTmdGh60cXI7focIU+ZU+tUwXiSA9e7JEJRwBEfU6rccTc7O4Y2
wg0nSRWeDrI0wozj56lOHvNDIsp614jRYI8xmuLVINd8XHW6TfE4VoNBSTdhRbfcON0EpCpR+/T8
27JyTMICFWTMYzx0V8Knlu5mi6G88uf4qPMxriObX48UQA7OohlJlzV9m31n6/WarAub6g8Om+hU
g35dfgnIODnxGp30aUUwS8hOFpRfTJd9lWmwT3fKkcSvOnZLoFtme5Ssp8bB3yLxlz0O9XhXB9FM
bXBwobcCBoMZNsXUlPUxRxuspE6qkZcEV2UazNG6p0QF+I71S64bvx3vXTmMO3vO23Q5IcAj1Hl/
rh/uX82T/zT3pkduWxMBNWYbw+Y3M08K6hbVShuM7sLxUtQ1oFmrbu3Reb7V2Fm85gntUYQpOI9X
lpUBzYktqZ9GNIoRy7Bk31H7SqaDRUcB/Rcxoitct6LaMAu73LYpYLopNeXODHh2iTmFVB+DldMi
p1vlQ+EajwEv06/Jm+ZvwGDlX1QboW6zetmeoEWQMiTvwPD3nAo8cTBH3yMo0qJVtMJ30Vwpn7rt
ysCxxjQk3MnZglFGKeBQSON+jzXOwwn93NYzrHi6T2Y7UDfIPsrPZsYGY2fE8xL2SDEZWmk/u8Fw
iveargZTgLVFtuNjLQGL7m3oZGXW1nLahDpdL4JzdlFjDl6tpRlHWfRtgEF/w5AiT5dYR17VamGY
4lIil2+tDZnFRqvNOMg1ZVuzzUAOQjclnZVxQYJM1G11va4KLNDZsNBBWnAlcKxnghxSb3DCws5g
XEdByfMZoG2Sp7lDgXHPaEK4asBbGFB1jBXGMQJXM3xROD+6W3eumyt2AvV0JkTQ2p+wFY0WNd/Z
7E+i2JHRZx4n2pLk7pLTyEOxJJrSJkQ6o6eaeekCk0OeGSlUYyuPnbt2AT6fcvgIOl9gqI768iQC
kJBe9Th2VZhVlozUzuDSNlpD6vg51nypIYQUHZj/MVuIEwypLjibWjkOL4hXM7lbHH7xNlKD15ww
rsvHgdPObeMpT9vbBPSKJBxqLeIiqQcVO+ySeEdm6cr6NCYWRtzhgKkh4iP91G6oSCgKEXlheGo3
IM3n7KQ3bXqtedDWLyOARea5I4qm2pWEW9WXU7RIPWso9sYeUpoVH0uB+OgApkLrjrSfjJHNF7bd
a9ablLTj2a3cCyxWsHJSGHD6GWQ+AwmWxcrP6NWjeT0Gcw/gJaqH+lYYDt0L1Rvay2RGQbZjmi7Z
JkVGZuzaUqiaNgDH29ArGGInUhkDU7pMqytp5go+jKdJbF54kpt8ZZtjdFB+wjulrSe6jedN3chJ
eNb0TTI30YAj0MqYmFbA5UeE09hj7ems7edZvwzoW1k4hntp3Qi20uQ649GyxcoI/ASBE45s0imN
vB5u+0CV9gvtQ6q8SaNiivyjNt1D9dWitXKD6Ekze/cRUWRpgA/pXbVdfNjuOu4IJ13Fpe4+kl/N
/80azxiIgtfr10wNUuyHKrY+DRYHoT3lB9nzgVp/qfshyTod/M46jRMH0xmfPyv2sRY5CbqgebhJ
XChFLGIQGa+m1idENasw/qKjJScuTGaqNzMytNvRHwk/nrnb/YHvcylz+ioX67mNnOwinSxBxm0K
aG83WxQjV67MdcYY4kaEm8KMZy3srEpP+Wfk0u5c2kLaRU3+zLQpyI3qLjiZVKRg6n4QXVUgPqTF
Mc+vmdQx9NXx/TBTGfLC3jNYEKYar9952tmtdkrcq/XSsGpVl76ZqatmaOlV0YLoKpKvcv9ckM3N
XmWqo73MfFHuJ8zM2l6vObBTdB1KGQ4NrbEvFHWhfKIDWMqkFp3rkASWhqfSoHGybMUb/1H4JG9S
ndFkJjlu6XpxlxlUow7U4Zt43blerUIXtSHzgze0u4a26g1UgDg9N6RDaTVkradTncx54K4tAdlw
Q3mZfX3qN14B+jYYNMqiduwmK9sW6fTaFimVB55NoUMQNEd1KrWouraiLs8fh8iifgYfARRvKAPa
OAtxwBXAR/UJnBJiOuRIRyeCVwA3ns7XA0FvlXXo4Y+yVOhoc/RLt6JDG+JO1uvQtjpjJyjhoxBU
vUJnEuJSLksAH21uTYIzSiaccc2uyE0e0gz4DKG+pLy1t60svOjNBC9Coa7hqNgQLezorX3lNWDr
qRb0BNVRhRsntWcz0ljIEJw0OzGBxHgbgeiO0uxoWqSwIEbOkwOtoDk4a3DlAHL1AX6skqzvZBjr
pX4VxfMiI29ifLEmp27WglEJgktprTBDAVtMkWYTQxbClYw/N5HHXtnl2Z42SQ48A2uykbeXvhP4
cIh0BbPAyIqcFIKRU4hVqPWYGCj+wB1MKwZOc1Kpyo7X3tR0EvpxUZAlOHH+NM0IkzaH3uqFI2oG
8ZmAc3kSIIzPXrECjsmFkk7vJzuIS8GIS1SvBu26mQSaUc7G6qJXgFRP0r5NknO0GmB8KrbY1Qo+
SU13tFelWGs+kB8QC/N4ikyUPRnqBt5F1KV2GHF80rm2qoTWU6k1nnPlpt5Il8bIE06gKml8Zllo
XmHXogek5c+xZAOOFs8nn0a71VXqPUPrTd4S6u1BqJvOXKz1KTB7ZNy+6nbYBeb5rIxJ9jqiRcAt
gHui4KbXGuk9eVWK86mp7WcUQKJeO2PrIG1FtnlqcU5A7D0l9Xpu2ulLQSUyDgOUopfZlJkZChsE
3bBtBvbNFDBsnCOIJ3EBdMlSarWlLxHcV/LCITxBHokHqrc+z/mwpZ5FscYoqAKeFnX/uTQJ2KDd
UhBOD9qFLrqYl3ZLjw6hOPiGnNUGVfmskaxd+W9iLNKrmDygg9cJF8KvtOMbRwsKQTcWqXMDZnkT
E393UG6dhpjH9QT4dpzjY3BHg9x3A3T65eiiheT4WFifnI5y7xnOGp+TUpGPpyaYGUEvv01fSMUg
eYHDrfcSG568FWibUJbLsr6KhebQW4HGgGaw5SHoHRX31MvYQq07x4ttRAON+dCJIr23FrGt5ZGs
t7KI7VJboB9oPbn2dclxQOCCSd0zcyg5LwNwJXdYjhxsOIHlJ7bTN/tmMrIjzS0iGvNOw35iMMzr
vSQpDmSU7g2rDoCvd2Rlsqq1baJG2EaohjgHdnrshjNckJuA/t4hr+mrhrR8rOLQFHl+VnbEZi47
qu6OjtXS/qGWgKiJQ1Pp1AElbN+L2LNHkNt7yBEK2nmiCCZ0SZYHL+KkNzpKqn1tdHO91q1uol7i
2VccEgQ2ALtAM923521q+U/wKC5LIVsGUGVD1eY2ac+lajC4RjZ5WTO42imh42zXOjlBlWG1R3Z8
BhtnkVD9qLzELDaTatEiEo3RNavWKNWLAZbM7ZEudHQMHGTJLUPcoYoYs/dzDU97SYJgOcYHJDQV
mI8wgjBBNXdu5HjDW9B7bYtzG/PNRNcQnNhWCOp8gjVlwCroOgnZBjPY7ucJHguBla2CxUqanXIV
eTnsfguJaUh32ovAEVN9xvmxiYB2jakMUIHMaFGZfTI32yaZXch4jbE5jZwTzrOcTvYEPzgyQ0Nl
+tkzuxMOkVS4leiwn6PYybfu0BQ9AuSc5XpTQ1imWeSOZCzwxCWUfjcxUOCT2e6969bqFC3FXsXX
RGEAd5qQ168oHHrtwawzlD5gjHeMD7zZEGm0Lfk9w6bOiVYApN2/WpKozBWqdPsKJvuDXRveF2mL
zRxzeWt/BspOMWW0HmeQd1gBRLMzaNXeCQct+sDG2cfMZdRrg3F2Q48zfoP9MZkr19D6aBU4ebtt
pkoR7DNCI59S67QupJvSJaoOIpfRF332DVxaFPBc5TxEEuIyNaH2vpyMBBaMdE+SQW/uBoAsHg3s
SF0JqrcPLoQ1hGZzyugu0ZZdRjM3U7XoBIlCtwa0ulZ/gX/Plnue+09kCqExAUCErg1dxjNHIoJj
BEq0i851vSvKRmpV4QnZAJiJbxQwkAwy2oQZuwfAxX6jm4oden70RVANTbkSnmjdg1OwhKCUa83z
BMQLBDNthD0xPrRSI4KkoSQZ4bc7rSnR3y6FWn+fpIbNmKGSeuX6SKFYJZ7HFnnkam497cmMRf+k
FvnSqmbm2/uNfxpRru9X1J5zZ9VbZFeE7ITIy2L/2pHLRQXK97oN4g+F0gNNDWOQfDBD89auk+fH
JJ9MDUJf6lkHsonZ7tZyrO7HWkMkafa5op9nWOnDlJMn4w9sQIVEJkWTYKLFUZNmho3H0q6cPHhM
SaMmg6BHDtPbxTVRUZLjWznOwyY3vLTiACCHR3xCBTpHr9U8xJpYevCSxD4NHd84YnoCkC28Zge3
sKLQgq7DpVkfm5dgBX1vZ2QDCcK+ESwRKg4nvMikqZtWnW0g0PYAk+utY9d7TKJesM7cztjOXqvT
k4ESC9fHmKQKZ0toV4Bl8qNhxqCAkM1dG03UmxvqkKFVOZSoqTrFFwNizYea6t8uprVP8cOfw5Io
WYOMDuKMMXBleQhrrSqOjc4XT8Br7+20edSPrI0TXsCEBuMyQ+u3bIS5UmkkL66a61e6tWA8qb2S
I021kwq2hmyceMvcrHdFEcXx56njDEZLTq+yg0NlHApaDmatOZPcpf5ysGqyY825jpptYJSVDwHP
1DznoTQw4zynfuWclGpKtlaAp9JeWTTIRmIFtKhfT0TBxjs/IYptN7fWcF9ScPB22Pv7gSQs02Bc
2DK+mPO8aPI1kYl+dNc2sg0EiYxU3M+0fFZVFIX+jBc3YKNPW8MO2WX0mypWqbMllna8gIGk2ytl
ZMFIM4GLv06txh4/ee+YN/2D+UZKgxhXaZaD5JokRLjsnQ4H+NMJE8ikC+oizzbSNYyTGPUEEkwp
KXjrmSARS+sW2Nw7d87+gNCJdyJdD6HrDVHH4L0W78w6GDPw61KKBM126Beu3cQDQRBv7m/EO/dO
Nu8QvCZqB+MKZ0lx75qRJGh3AeURK60+twPwPGay9El/J+oh9oOuV72T9vJpgrqn4M+Uq6l3oPGZ
72Q+07CWjdA7sS9/p/f1kyT6eUyQ04Evn+9sfSH9oelX91PfjDdEzDYhT016oOul3/XQ1740CyyQ
EQI30EkEpL229DbtO1cwm98hg+U7cdDDTRhcZJzmjqgpncfUNHIqDQuo0H9nFjYkKpyLmc3Jxnin
GsIfF+tcIMhBQ0BryMEH7LHDjxJYWFl9VbOtbpmq8EXREzUm67PzTlEMYifWd2Nd04VBpGVtIkp9
t5DENHmuPiCM70BGxCiqWQBogBrZ4mqY1hZ+Y/eOcqTMFO9qEF2c9wt0qfo2fkc/trmLkqCcI2pK
/AB76I65KIAAOOcsYrO0U5qW71Lt/zd+g68XstgBNpVM5YQPoJ2u3jrqyd0//usDrLz89FKklbwR
/9kv/fEL/fL2/s4fDoYXTrjILa7e6B1U39sRLCzfP9gX3j/R+8f9oxconriq/vXt73/Di+B4VuDj
dtPf/+BgKEQVf/2xFri/olVfol/N337OG353h37vHvzx5X3czD/+nR+u4OkVOv8atipHAPn9LTDI
gv1zN+F/vcQ/b4KzMOKB0HicK9//4P3//iYYhv0rQYhe4HwFifyFLh/LA+6CPzMGfv/yuTp3AZL8
cM0mN8VwaQ2bH7f3L3TNOCoWA9XPXjTfuMPp6n9deOD9alvAeHgqPkY8P/9rjXhzoUj95OXb7q9O
gIBncSi9/7F+/Ppd91fDwyLhuV8fib/cXbAQvPCc/tQgcK1fXQooHsaHjwcfU+QPD4Hl8OBzLCVt
4q82ChDuLMibn7t+51dbt2wbJtHHKMCJ9v31M/ujgrYdy/g6Sj6G3Z+aCv7EL/22llL0Ll7fV9H0
rft3i+3v/cK3BeRff/518Ti8/v1vLJI//N6ypn689T/X2H/8MDu+r2/f/fDbevf+Nl//+dfr+9d3
/uG9vl3Ut7/cp2/tU/uSTO8/mL5+yvOnkrX4v4vnt1YShPHxzstH/1jc/vlJ/v63Hz7nd1//H73w
qk1l2iW/hLhVyuf0h3f4WD9+9h3OnqoUIdIPr/x1lv7Zlz5/G35ZtX3VDelL/v29+ToN/h+8/he2
V68L9euX5X+nT8/t06tof3wv9D7f/uJjT/affBHnguCZxSD6y81by5ciWsb7t5ddvm/T8lwe6p++
JqGefrl+oQrw4zdiQcD7+Vf/gzie7/as/8n9+bMktp98G2aY37H1/uQLXz91+ZN8Sd6Gpx+26VhS
l13Uz36tn3ucEL8NnenbC77PcR+r4c++w3lfPalefv/KX9eZP37lfzcZ/nZK+Ncp8tvu/9/9sx+n
/+U3Xoq3p/Yf/wMAAP//</cx:binary>
              </cx:geoCache>
            </cx:geography>
          </cx:layoutPr>
        </cx:series>
      </cx:plotAreaRegion>
    </cx:plotArea>
    <cx:legend pos="r" align="ctr"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pl-PL" sz="1400" b="0" i="0" u="none" strike="noStrike" baseline="0">
                <a:solidFill>
                  <a:sysClr val="windowText" lastClr="000000">
                    <a:lumMod val="65000"/>
                    <a:lumOff val="35000"/>
                  </a:sysClr>
                </a:solidFill>
                <a:latin typeface="Aptos Narrow" panose="02110004020202020204"/>
              </a:rPr>
              <a:t>Total carriages by destination</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1E6D9BC2-D2FA-4EDB-9BA7-F9B57A24D1E2}">
          <cx:tx>
            <cx:txData>
              <cx:f>_xlchart.v5.6</cx:f>
              <cx:v>Total carriages</cx:v>
            </cx:txData>
          </cx:tx>
          <cx:dataId val="0"/>
          <cx:layoutPr>
            <cx:geography cultureLanguage="en-US" cultureRegion="US" attribution="Powered by Bing">
              <cx:geoCache provider="{E9337A44-BEBE-4D9F-B70C-5C5E7DAFC167}">
                <cx:binary>1Htpc9w4tuVfcfjzwIUdRMerF/HIzNRuW5btWr4wZNkFgCQILuD66+fSUlVbqSq5K6ZnokfhiJQy
mSSAu51z7vV/3c3/uKu+3HYvZl/V/T/u5h9f2hibf/zwQ39nv/jb/pV3d13ow2/x1V3wP4TffnN3
X3743N1OrjY/UEz4D3f2totf5pf//V9wN/MlXIa72+hCfT186ZZ3X/qhiv0zn/3pRy9uP3tX71wf
O3cXyY8v085F19sXWagG/8ndvnzxpY4uLu+X5suPLx9d/fLFD8f3fPL8FxUsMQ6f4buCvxKSipcv
qlCbh/cQoeIVIVIITuXvj3p96+Hyv7OQr8u4/fy5+9L3sKOvr392h0fLhwuyly/uwlDH7fgMnOSP
L7Pb+vYzbNr1Ibv/JAvb4rP/+brbHx6f/H//19EbsP+jd74xzvFhfe+jJ7b5n+rTly7+O00Chy81
w0ph/fUnObIOAZsRorTA/LF1/oWl/LlR/vjikS3+J/3PtsVf+Mm3wfHokr8ZHJK+EorpRGKBv/7Q
x5bQ8pXECcGJoH98fv/s+2j53W//ej1/bo7fv/do7f/hYXB1W7sYPv0744C/gigQQh2nJ61ecUYw
BtPcHzukr2+P/V9Zyp8f/D+/eRQIV//hgfBouVAwXn+ZXqTdUPeTuyt/P53/82rB5SuhCZNasvuT
Z48DQspXRCVMKvmQuo4s8y8v68/Nc/T1R5uGPf//ZqMwfvFQO25f3NyF+P2i/n+xhr0e6ttxiP8+
R5HiFceMc8qSe0chjx0FMieWnAtGHhzpqJL9Cwv6Cxf5fSfHzvHhP7uSPVouBPAvQxnqf6M92CvJ
lFKCk3tMoR7bgzABmIIllPMjxPd1IS/ef+kAgoZueW5Jf26RJzd4tFXY6fv/x5b56zj6AyjvbuPt
/ivC/gYOPv/p180D/j/66nNA/b5mnX3+8SXBCo79D+C+3eNRRfsDnx1/5cttH398iQjBL19MX+5/
p/B7Hbpof3wp8SsIP8YVYYpvmBEATB+G7SOevNJaMYkp1VxTkiR/UJi3oVpMqP/Y78PfL+rBvw2u
jj18W+mXL5r767YN8CSRiiqcMC4J50zA7V40d7fvgCfB5eR/2SGhuZWGvpn5Iuh41uZVNeGP/Thg
VCUiDeNA1bnJZ16eN6oezMdGxq64cHkY+w++pkl9Ch7asaxhIzX72RgZY0rWituTWCS4winODVNv
+xbrdaexnlg6L4vI74SZhvwcV17255h1xB7QrNZxb9lU2oM2OmG3ja664pw5G/OYOuNU9cskMRov
khrlQ3M+ddg2Ee8SykY43BuhsAuTzVwrfG+7n1rn0fmk2nqv7YJeO40jThftqst6bPqrUS+23OXG
/0R9rg5er7JIxbAmV0vrcZ16uxCeYtqMJzG2OHWdCGdFW4glW6k72BYNMWWx0z+Jhbl3fVdGfsI8
q5d0bebiDXamP6/qsDZZE11Ke9uHXaUWcSaY6W+SZb2tvZ9vmjkZ03ppzX4iMz8Xbp5tynJfn635
xOfUiBB+nWbbFGk/xHVXrRhlpk3KrB6GXaTz8g6pdjiwVgibSdYl70JbdCcy/7nIF3XOUcB0H6Wy
b+2Us33Uuqa7SnvUp2sl28u5sOqA2bTeVY6KgxfWTdnQ8zE5tIH0JzYXZYY7NOzbKul4Vk613g0+
+clr2134BRc/mbxfVBqxRR8r5Moq5UCGhnSth/UyQCygTNhOdWnlaX/VRhR3OhmTa9+Qcte5btrT
xTeHPqlDm3oV1OXqBdrTVk6vSUAm68ca0X3FW/nB57lJq9mF3dz6/ldui16loqXufMnx/J5MU3lh
/Ij2eo1d6vLptahc/NWuiX+vi1nceMHFyeLLxaVOIZdG6+eLyTbsgnRmTieeFG8cNcndZH1Y0k4o
8kZMdjrH4ErpLI24HGosfkZr25+yXONz6ofwKSetnFOMSrxr+8a+oXVFz2wlKjBTjBfRuDf1wm5W
IeKbAbvkC2tlfxbs2OVnsl55So2NP0up189Lp9sbNw72k1kkoZmvW3lZr0v/WvJEHMZ6RCjLXYXP
RdVYk1o1JEVmE1OfucnZj1OQxa4a5+rMsWYEWyemwGmlQ/0LISQ5kNkvO0Sn8e00OnUSfcJNurYE
pbQ25ala1LSTVeA+Kzius17JJW1Yja90UfoTRMJ0NVnW7+rCNylmvjuYvMWHdsy7dODmZ4iu/M3A
VHEQbVGdN/X83raFSou5Ht5EPctTSoxMEZVNylUu6VWu2qnKgvRi76JSKSJFvevGPlwvxNkbOslQ
ptNclGnQstwnSe9ZhvIVHxa+0I/APIp9ojlN19UgmhZhWVJr3efCjuhnb5Y6dfVoL7StOdsvpinO
OjHGMxpyblOHcNj3PmEpWxH5mAtD+tOp9vhCc1mlpI/5kCbKvymdyQ+JL9si01aIPSpb3J4KtU5T
aoayTSlR7S74fBSnVd6QJU1oPSbpwvPpNEZyAZnxhLfF8Gae5iWddDJd6SYkexT6/K7M1ZBxvXT7
WsxYwc28yMYVjL13OKlpSkSudzQfIK4Xj2nao1iAhfj8S9OtZhckmS4R7dkJKmbpT+yw2nekaYtD
aYw7nckIOQz57jOoZ+CoRg9XrlzK9yX39OfYqOTzXJZNzOpKG5NiTJbLqItkLzyvzjmxzUneDOQd
qkad7+dEl2kk3O8hOYQ013Teq9mu++BW+S5ygW8VGsJ46JuJmKytV/CjONjX1dp19OC7xJ/MIoqs
xB0+V4QOOivqulYZrmW/VwNkWIKl3OWrCNf5Qv2v5USmU4un5a3pwcbYKHvKydBoOPECndU2Xy5F
Pyy7gTbt+2KI3a8dqhuc2tXMF3Xr5BmRfty5EWOddZJPh9UKDp+U9KatcXLWqeZLQ6z6gEbl3k58
WQyk+sTYk9l66dO4xuLCcO7SHKrFgQz19NbMQmRDU00Hrhr2WvSJOCl1a9/nIdTvE8tokXZYudRj
PZ/VaICSUtqpPkUR6TZzgXxqVeAklazllyiw+U2peLenpmpZGmVgZVokkGnsHP3O47LKutIinMYq
sHO6IH1TN5M8H10S35WzyFlWjNz+MqA6WdI4oXDCKkrVXnelP8h2cF/AlUeRJXTobssFidfDsELV
zHvHLuy0jCctVdeRkBJnXCX6oiXFmqRrHMmuHTs9Qa1CzqaxY3ZIsQxvwVnfkMrifTP0IYLrzKjn
+1Ha6nKavdxBaPcfTBKWMZORtKfFsPTZUojOpNF7dDVbBN8qW4rP1gmpJZVNp9dMDGT6QOdRNHu/
TAadsmhZkubrMH7Qji9vx7Vkb4qqbMkOeT33ZyMxeoGKbfSvsBBqszkRcid0vf6G8rCmeGW0S7vY
9OfGorCz5czqtNdgsnUK60/BI7ELyEJW46MLPhuUG7NxWLhKez/4zNlm3q1liS5DjfNd43pyaGeT
/Eodn+ZUV9xfVWh0N7ks6fvBsuEXV+X1zhSATdIRYJI7SFl3F3LiI8nKwTRnts47ODqqFOSydnxf
VJ78QhLRfSh0kDtemua1waBf71aEQCUuJsf2ba7YjZrdXhkcLltpJ5e2vjbjflRsaLKW1+GaGdns
WTLFvryxQxdkc4J9SfR48a1G+wha3oVm6RwUonuk+cef//0+ePj3VbT955ubvv7Pv65+F+afverk
S9iUuP74oo0C/HEvePoDJdhw96M/nnCAv0D59zr/X3z4iAI8kvR+J1MbgmYAqP+aAPyuCP4T/2/X
P6B/QYHcAdFOgMWBWMkoYO/fyQAH4v1ABhL2inCcJJxpzeE3+Q0ZIK9As2Ggtkm5fSD+DheQ8Ihv
qYBKONAN6B8AvdeSKAbP+ZYKeDB6U/PE/ESkqSedNms/SrzHVCWqzsq6NaZO0TDl7Sc0i3XmEAq0
qudD2TSD+zg6OQWaTsIlbdxFT/La74ZI8zrsTTtPxXI2QoxrCD62Qj1JkzgkusvKJGeGnkpf9r07
4ZK2qkqbyk+syYxRAc9pZYYWoHFhpwrWZbCgsC6DJmr1SW8KJkOqW5/T8dzPeVOGfaIoVtds8iZR
WbmQUX3uQknCB07ybXU1wtsNZRcwPHq2ZvRVushYweVCeBPpKeqhFt8gVqq+36k2jxhKNwMwq07K
HAUuDgnRovFXpm6K5nOHGRmgmMQpzGpX8CFXKmvzZIT7t61D43iZzFUNh1DGmMNfvAgFPK0VvIZt
tw3BsISubWeOTgDZEtRmcsDb+t0wONi2LahoP33jjX/C/47YH5hcEUm5TjgngrONZ35rcmArQlbF
1H1cWTcbdcYEz1cAucU0SrFrbZDRQhVay2U6CwOwmPUGxXKKxSnxuZDl6fPL2cjmN2RUJUIJyGoU
eKiQItFHy3HCRqrnOf/QYy3BNeYCm9nuiJwW5PeNnLejGgGSN/Ya0aqR4+XsBmiQQW/qjyD9k2Mh
IKscLQTCEhix5JLB6WyR+e25rMnkiqHp1QcVyiD867Hr67E46brSSX6twSC5BLQH/litKS3XNnQp
akcCruWWhE/LASrU9jJOi57szg+NiOSNKsaFoTd+rsbkU2BxMOXVHHJWXgGgJPL6+V2AFPF4E6Dm
EoUhnEGmYCoBfeHbTQiieRtFs3yYaVtYkcpxZXCMfJiCXk4Au7dsPNeoBiQY0ucfTTAoyo8frgjQ
c0nBtQjFjIJQ+O3DfUf4YFdmPkgvhyV/P4y+VO0h9rIFG+YMgM14DpV1iwEeOl/QDKN+1O1VvYq+
Zq8bukL7N7XObJE6jsSuUwrYgmx+YZDt4q6zRBX6TRg8peJEDvWWTqbRBrin7NpFUcDPq2IWVIx1
1L/kvizm5l1T6wKimNuuqn2qxYC4PrAK/FqnfVPksj0sNIgtcPu+gmUu86Lgzpo1A+SdZewGWJHv
ky0qkXNbTsrRLMH4WIM7dVk3zmXsM6cSILxZ0w5bbDOqFvgsub/L2Mrt1jgWDvY1835LLHNjPbyZ
1LXZtjfX254LpyHu59C38HAeCOH2DnjfMC0XPZvzqUmDrHH7CZJoDSdc9ytk6v2Ke0ubXV5RSXak
cdgC/+m0LwBKRpKoxp0tZiJSXReNK8EkdaPMmF835VBLdBvuE2SlTAvGm9tYzc0vI4kV3JotNZz3
T7hMYkEuq4KGsjwtchqKuUtXBNEACXYdI1w6NdW26oTnAHvOdWFGdMPHuGU1f7/OFrkJAXrtwVd3
QShji4wutPPksIAQ1ZPUDbISOgWsNfSAkfqJtZ9kERGY6eFWZuu5yzfiPqPO0YT5nfe4n/atKfvR
nAhXzRGwWGg34zohSVH9FMcpScq0VBMp8vPS1pufTXHQcrigeAH6fl3n1MCRPh8b4knSVRLkXA4l
CEotBMdRaFiZ435dk/gxDNytZZavq26BGd3nPNR2MxyZHMsVnGaqCwIvoW4nWN3DJcy5vm13rPAR
XWtQ4MABWaAdWDFOqptuQE7Avt8NVVeCV2lLtyhrOknkifCF6dt0Llkn+E1BZgGiWop13wRxE4Og
cX2H56I374Bpi1letmpdMFlTAYRKDRfsvoBS1ovyKmBl4AH3f0DLYPPvcO/tZFxIR14XSbHlbMFH
tEypcH4EP+gW0fbobUNChRuZ1v0Yov3podqRGWSgKkXAz4EOtkjjqc1Qs9RgDyiPBey1U8DBY2Z4
YTA+1IUFifLSDEnX32GBJghcEkHLHC8ZWYcG7VAV216ei5KbXO+9J2s9n3hBaiYPJcm3oBYNWoGk
PW/pTc39NgkmWGooqhjyH4PmGuZHlm48Z5CTRHmj5MoDPoAosJQuoyAr9DQDPrAdUc65L1wWZ121
RZqQwhJxwRY2QVZeQ4sd/5vVLYEmHxQ1qTWmoCA/AXqra6hwi+s+iAiiCt6vY9heqr7Ne30VG2Bb
7yD5JgHydcT9PN3pSqtmOZlpMll0t4CGWvgrTeaByRM6hbFNsjqvRqgufq5jMadtlxdcXaGkkPys
M0Xo3T3huJ8JeXuPCr6Vro9KdALDLlJj6FrqREPf8jiKZjGhoaEtvSFL1xqUuXFejSvSErAtyB11
XoiWnVE0xak56RZMOYWOxnMo4QitwAogjokEdRt62hDMxyCh64iY1na6AVG+VOKnCc+zWA5IEw8u
XypWjiBAyS6CrUnCN+sq5dky7//uOjQVQsICuOD8yUkAZ+Zetm1zc58bqei3hAyRD2X/EEEPBbNM
FdVbQEDUAxwBtXPDvc8v4whuAIuBjgV0oqSA1XDoSD2u+EUJYouVrAeD9Cj4LoVSjdiQzjAaRJPf
ZCx8X14UfFbKXD3/6CeWgAcD0lEcgyvAKRzhxnUJXRnKtbmxyMmmfgvJQkE5GXON4OUh+bB66JZw
xuw4Lh/znIgqfOcEADofBTyBNruAqFIU3BNsenQGU5WEvvS6uQl2mCG22X2A2aIG651WMUI6P0nK
0EG4PYAY75d6Gi9tyIsJp2UtVlYcSGm3lF0iDNjQDQ5Kno1iKwi8EV/3dH9jBkDS9mdTteS9ySY7
iy5JbdugOL93CIWheBNzHwPaY1VKTc8SbnkpL0CR3IDGlHPZfhIo2YBDp5aAul1FuXHdO2i+bF7c
4G4olnNgSNXo0gblMHRzKCymsBR3T8ei7vwGhOQ0bZXqPv0XI3jfp75bN5DT66kt+stRzMzlJyXB
W9Eg1BkmUw1JVOgDHfs1fKjntYMaQ0AJhxp/XwED7paoGlD3ywiflXXlYbE8CKBaF+u60cQDJjnK
yU9IiKp8XechkvkqrwSFchQLA3s8CAaayXjZNX7tQO1f8hy7Q57k+ahB7C+bsd3xpJ6LMU2qQS4x
WwuJmg9wLgEq7eo2Yx+AT5awBFDvLSwh3GOWqfNUoNStUdklg4Tv4LOVRsh4J1PgW71qxhXDUtyw
clgYdNVWoIEy6UCyvxDzYuESek9VEUQXXPnwBQJhDY5SQ80FMgmYbTvgnC0Gbq0S6QAjeksAUo2R
d6zaYRD9Zn8KhX5DgPUEcAGwaDNreKH3HtXXcgNacZbQNLiuGqjweA+aMqTQPQCCrVaTGSF4HJ8t
7brD6uCs7IH5ejGiTGvPy2r8eVa0XMzFMASYTcxoVai83bshAB7BUYu1PECzJk6/gUT1Fb2TuMAZ
oSKEYkqToswxy0w9RiBTyNTg45K5IukzdR8aa5Qr5KcI2l4D7brc+jFBl341nZNlavqlxSDhoiKx
v3ngA3RMKYy+6P6aV3Gd1Xmn9Ybbipqvypz6pK5CH1MN8igXHxHH69ieowLKEkmrGhcAsru5Z3g4
5L0364UMpnTNa58vs15uIGLWsLY7n/Nc2xNcSbfBV8rb1e1QDlTWn5H7eMIqRjhPbxovxl0xsgD7
BJjGqNwtjpXwIGW6jSg8sJsHexNpN3hU38MpLtR2l4eqjAa0ZW6tFgRHcg+h/2b2TChAFAJTWQBV
hD6mam3VkgmkQvvuvn6AYgDQjsGO5msxzSNULy6njYlwVFrgkUGNENvPr+FJ8UjUVjZgyIEnYKrj
NnTrVCjGDo3XmA7VfG1xkOXVUgOZ+IhqBlznUGtbQVl7/rH8GKEReBrfZl10AoOZ4njvSQN91KAm
cwNDa+u6fOqtrS3fjUD32/jBJ2KQJlWgXpUorcJAoLgUxmqwYFUYOK/DCJNwwKwiHYuiz/zq+4mf
cYOMwifgxay4BWK55YLVTbEJb/TIO7Ajww3RkLg7JwBJMZOXSZ0lq0IVvZZ0TdwNhsbzVrxKtIDq
ktcD7w95N9ANVEPTCEjtA340o50BVD4sq196DWWfF2TLCBVCuuugzYwoLbO5HdpQ7UjdFxh6mrXu
OanTHBB9ofag76/Q6kauxl3+nfr89Ri/EXZACZOMUCUADmv4fRt1+FYNKKSfhNOxe2ddrhNzQrx2
ugBliTYz2kODe7L9FWltr3FGiIVmyB5SXrmIC13mcV0/aIu6wZxOzQpBtfdtpZLmQMwE/OC0p4LB
Sdm1IHAOUDxyaIkhUrXjO7OIDgzYFtgW0wlteFeSg7GqGYBlAqMm1YmDCtGwXcVyZvF3qB6HublH
BADmS7UEGSaBKgajHMd4gMh2moyshnfQfpCkuy1m3gGcdl0/QFixQOChKUmmARykdgvd7Bj4Srqd
g7SWvI+z4fAeiGWbIEBwD/HQALWFC0IzT6rY4SVvYwlSw7BpO8X9jTmyRdGdxwFmCaa9Rh04WypL
DGnsQmlogLm9jQZg4pnM9QLu4se+hcOONdqKPmGodPxLq5CcxQVZHazENM1su13vQMmazudmWspq
D43ujicpmaDY51ljKZkbn7Y51oO7nhsG+ugpCCl6RAcFIIfQtO31QBKTCijrQwmd9GXZrNzEfP26
9+gIPkCK9LL+Dhk75gvAs+U2J7XN/VIYDz7CiEU/O50vg75m3I1j8zMIJ+V8vVpmIKVt0BCKpC1G
aFYfZsq3iHo+1RxnOBCcMbgAUP6NrTxB6aGFkraUPrmGYKvWj+I+pS6sUuAC1FYjPBF4EqTev/1c
JiiMjymlucDHmqqAvqCb+MqvMUfwXN70m1w+0bCVoX5mkFZUJQi89/xzyZECmNCtm6C3HeutyXFM
jyrr6rmb1vV6JOD6sMfYeuayB1YAdcDScB48TL+h/QKiRyPethVQY5d2hV18D0oCL1QH0xFzC110
GJ2Zqp9ByUmmafgOgyIbLv82P1FKMPQMMFA6DIs9zk96xn5wnNnrOU8GIONJaTdH4J3sk18BahUG
mu6Fz6EfN/YgjWW1WebiDmj2AJTigfHlzaRhzse6WMHgAmMNaqdd16jtoJ8/2yMFKaEU6KbADE43
kRQE88fpFCapimSuvXgrlmWGRCKd3bxo5myBv5qv9dlNrS52gg7ULycY+nlQwEvKcqB/zy/miWNT
KmGMDMj49qOOewgbGosBWhrXtRwcxBIe+IZhmegVPKtPVsARfT259ePzzyVPT4ErDqQTxiMhtJ6o
K9rMBuYIOGQa1aJ4VnfjpnLX9dzmZUaj2FTaNYQBhi8A4ttQXj9AW9OzrWBE3eeAuqZk2fiLIG6F
ZT8In75p5QIDH2Te9GY6LmZwr4mxK8xeqdkHwGc8TKVwvz2/KfHEE1kCQvBmW7LBsuNw1XyxqxiL
8fpB+IbREC3fDKRdErt3apVNczqCZrzWu7qUbWlOXU372GQSVxssMf3Uwm5iRwkg7hHoYRXAj0EV
fLc2MGeDMhC/JUMZjj0oBCnjs6blAcaWcIVS5a0ohzMVuSzZCY8IOMaHcRvqR/t7TEYnsWnhjtut
QdOBdvb1BTSH/hcYr5ICJGDVFwYmQRbcVOxEIsfFkua1xGO9r0pLE30+tGNEN2uIFY+fHsyxLuMm
/K3Dshmu7+vAgCVyEgxszlSk6g4wC7SZA4RMD978INlXs4USuBugFxcSoKgN1JTLioVtfa2WYplO
gE4nfo1pUya8RmfG4yYQIBszkI5MjTBd1H0n+z2pNtCOhTlq0M8FpU99UwprVq7KeD3WbIvQNYDA
/amyud6AW+O2M1SkyuNZ70rx3eT79PFbUBCNxaZIgCTyOEEA1nIFdFOa6wfFmNMaQ30ph0TC893X
TiIXJYNVVKYAo39n+/TJAgRkfSnF1mHU5Els2siLgqzt+NZIs5HXogL8BlI0M0MxZGLK11nvYDkr
UOAWlB0wIF05+MgeBmICcLcHCgwDaps8O0BChjfzBm3dkvq+9fLAmpagwZfyXsCETRph/GEoUiS+
PvXBs2B2aWsldWaIXpwuaqz9mGoch0LuIlkUalKQAiBruLRytfXoOxnySaKSILkyBrrU1qYnx9Bj
rmAQpIce+duHFAWsj4PJH4A7A1Wg/VQuMABzBnMhDLxlkbaeryfffZdnHQNSLlUC/gCdOUUTTo8b
mzmZK2GWan7v64iMSCGXwTOmcqggVesE/PH5fPZEAudqQwAwwL41I+H/BR0h/wkJaUI+mPeW546x
DEaqgRenZAGRECBjsHq8nbjyeRphxK6FXj/kumqGkTCQgrrUNtAX+15wPmF9MLIER7DhQWjBPC1Z
/VzFJQRv3xtttkyysJJBuS+hVQnw9x6gTdCLm68bNMCZ+BlvAGn9WmegrPHySthl2iovSEFwjHIV
IGL0Dm3Wu0+U3jC/flRFT4vmZFVgi3ftlEOXP+srv3W17wFoC9gZorCXC6DRh/ahY/3m5hLmouJZ
RTQgj9T24wJTDl5CPzRtFM7VZavriJfMINWIXS/YFtqtcgPQy3pwHsjyOLVf5aROb3gWBvUILC8Z
0Mbp53uN9HlzH2MBCHro3cPcA8ylS/iPjptQ+800+RCJwxraMTcPBN53Ko6H4PAIM5NKLAUMVzcQ
3t8DRI+rpti6aRy6dhi8G5LtEwxCm8UluQrz2wXBhF3zpc6hyVV9hB6UL2+f3yLI2o/AIvyfQQmj
clIxiCNKNtn98Sb5DOOAAUrqWxsCTKukJQjMDCYMRdN09U5YPs7h1NO4yYKlwOA/xjSkEFkO02zw
0lR5gAtzaB+DxRjuZnTzvzk7r+W4kSUNPxEi4ArmFm3IppMoQ83oBiHOzIH3qIJ5+v2qAe2OqAhp
d68UkthsmEJW5u+w4TrKcpDEHeIrTypiNDPiICyTGZ677HreV8+WDv+GItdi2gP11fOjHN0wTu9d
mtHcuRsnZzbto0TZzk+yNa4cRgALYXy0Bviv/mDlUqqXycrydT6pfG3z8VAZIIgxAvvrgRqp1Cfm
z7b+cJyYfvmUlozu9qWaegDwY7uuUG1RASw0m9E8O0PId278ag1/1MdnpH1hWH6utwsxMRXNy5dq
BohxD7Y1StN5B0GusuWuygfPk2dEwcLt7r15gBt+TkCVOYHa7TqEhB56R65ZNlRaCZKGDEx1ZHVq
zeZbtOd6I1P07151K+ahdVMIPQ8S8+DSupTZyRGz4qhTO+5k8ZBApnLDVo2hmhcEgNkavy9dL7Py
c6PcMl4PI20ryHVaTmCvzzGks/c1LpFguqfMqQU0WQEaxZa034NiLQAQ0fy7XR1/2J/j0Cw8sOe6
mIa0PXWOszrOkzTHoJ0PYYVCcbg4hbUixjD6RB/fChiK3MkKy6mKaWhHfcuNWZ8y6OiUd9FggiU7
x3QoDO48pV43Eo1o4NC3JWTQKXFj7NoKpXGKR6TR1bGBg+zTU9u4HRfRtdqBFYoF3qmM2yJeEv5x
54nm3rTM+C7DneLPt+glIM6OiTT8IXk0lY0wIerjBGj9Bum8kv5Ta3ZYFT6lsV0N/YvtFYJvb0HD
uRqtL8W0XCBrWZmXrO30ei8DV/+fcpbQPYxZO1oPe5OCsIKW6XEe807cGnk4J6fEdgcve5d3acEx
yky0fPQ3z/N1C/qf4Y/n2adk8VQ7+BF4iN623Hy7CMy5bN4rOgG3P64IlAwn6iuRoPXv6mamdXRG
DxLjsIkxdtVGsOmzllRaogISbmytK7G9Nun8FwN1SpD8McUsnSbCnGmETIMbMI04BCq+M5eyig99
CCDXHJlwjNqPsM2g7bjM7WBydRW8n6aRhk5vCLv+LTRTwFFUvmxDGQWZer9uij3Br+DnUjUEnhtZ
cTZb3Sl1e8OoohZCPLlJJqOALIXICRl9mBscqIggXko+VhlKo+YEI2j6YCfwu7wuIdujpgfXA1LP
6jb2T5DUUzvel5blVOH3Dy522RnBIR5ZsdWh65S/dMdgXF3+EI47BlW0Wv5Uf9nbuMRpFYaP2RGV
mqPGYNUjpNlavNQu9MC6MUG78MYOYi2uEWsf9+/WtkCsFgVx0SJQqXPU1hyls7EczZCi3L3vdSVO
6aYW3TzuPeSwJrGRjQejkhpTo3ZWTfLO88YKLXPUhmqEo9n7x10UkovBXbv3ubsKlMvFMmiSyu4W
TcQx5Dh9fBQKRCu7ASJY+PiubYm35rWrZ8xNTzuBtyuM7JZ2iX3fhCJpD04aI87DO9N5+Z+DBSJZ
n+xBrGVzqQsaGP+w8wYhS25xkGYa6Bbufv0kgIW93dlAaiiIjg+BCXL5tllz09Gj9xqTd3XSwCKe
2Jlw45zZlbgCpwE0gksEqaiLzlrCIT3tT3PYpG2Fx2GgmFUXO+gKkUetKaV8GGNh1OfYEzmf5crN
IM2OSuvISft0fRlQY9B6AciCfMky07rDaen1N2j2cH72XQRA6GHCSv9b6MaaibDiXLM2Lf7cyj0M
Bl3kclISxBGBlez1L/Fky5AaFUNqda+uPdKMVW5V8KuQv2sSvA58PZnlzL2g+ogKtXoPZZRDq9RN
uQYvjAmZvmCKvorPGLQ4xtzkaX/HkwLPHtXMycuD7YcIYu8Dw+ip5aUqrxK3OXEWeRiSOc5kVMyK
FvuMK0HjfKYYkHSZU8qw/+xAxhYf2wlx7GVrA+eq0NR9pgUqDZQbWp31LPukaqrTzh8UIxKz7LBI
Y4A1nrkN7f3Wt7auqU9fzIaWQQRV72XNnZoofQ1mmoq5ojGKIEWpbq7gGfI+WSvd3A55qHtFr/Ao
K67ZLvybV5q0ERDWVzRsxyr7ThX0loNVJp5/yb1ON7PjbJvsUv7c1ekRCLsMb+swtsLlLsdQxa3a
D9jvrIDDGvtAy3AHtJJ8p2kWg75w9hD7blTVZdnTwqbNErtYxgqJ0aPJnSSR74RZo9W9CSYzL+2z
3aWYFu+nwtXYd+bPCceFqUtfPFmHip27yIo5kQcfDWJmnO2sXDTS3vgLsN0o+T/7Nk/kFCbPmZra
pL/YeeOlF2yRIXt8u0rJF7AoZy6pabg5n6b4d7QGS2jAnasWktZsDpmZGH3/0nutRuD2DS1wFL6S
+8WPaw7Maqiv9u1+MRGmuGt/CqCU1vHM0x3wrPerobuB/eO2KYe+iRz+080OeNWS5l3s91D7YWlr
qsPxvZbjmoNK84XjrDHmw4zJr/2wZNWMcWYbYvw61hoQ6iVLbP9LU64Dn2Xc1Xd9dOdsRu52lfDs
REphGUFi3lp2sI5zJBerbdOzCoBPP7aAaQXtlLB7zU15tlYwNEbT1c49xqk6HQ/FxpLtD6OZ1b7y
o7ZLLKM9Noupn5dku2Gz5+pFtk2iYQsvVNz2stS4ZTRsa02q1b1MSz5Uwb3trp5KlmNTJNeNad8w
SjVpBsEaUY+eVWlSkM4AvZnoDkOaO/FHCAxrMu86EObFOxktcoXmuJ+xmPq2HqNZzqgfn/Ds6JLE
MFiMNn40KevX8lpGJlYW9YBtoJ3n9+zJvi/xhuXJGgf3JVbVab7x0wS6LcrMKsUxaxtu1x5LZOYq
fBqZR1iToxL6fuWB18HBTxtAZCydlk+FgrXIWB5AOSIlmrhNL+a4WoWHq3PjapQyNei8s3/2uggK
K1CihpktCgo0Ux12ulIv8Erc412DXPRS1x6jgO9EU805chD71VtHY+CUk7Yz5WVth+A9SgyRHBQu
Tw7Hyl2N7E7XlqOKwUbBafwJbw62w7qzzVNjlWg80efGykloCPqsLqLBtYO8/egn3DLzVFg2ytFT
IWXiy7vvyDXoIMcdB4Z+Iou4b/UDvZETXZzqwuTUpbWcs8qbw29u0dtUJ7vAlBeNHn5ZFeXD4HNV
rTlVnsoP+2M2GVNsOCLKpn4FbormvM+s8n3LjzGSRtb2LKsg8+Bfs6bQK9gB7Rf+JZsDfYLIZ01E
r71NF29+l176Kxy6XUSiTHv+tVVhppd+brITnf2McTcJIzqBVF46IVHlBsWsEdJi6SpKQcLZUkK2
yb7PVNgW2ICwENbv43DVBauz2pgjmpmd+L+9M9tJG8MzC1UdGmXnZfCy+H4wXlJaOe7QfjzVtqfZ
V6Jwjg23dT7s90uWaGwQosncZURiIjR0wU5hJLVtIkeuPp6nKgUXetzFYmXidLpMbgoy1WKjREhW
93Q8H5qw6wxxzjrEq/8kkwmIFGeavEqVA5AxX6GrtE+0XmDaUIgBbTRrmvJ8vciUfv4W5Emjpoeq
kmuf37YzI4+JfckDDDqIAWvCdOOllX7oWpXZrIZE0+KvJaNh97qEaxPEaEWvj8l+gmMA38SqMaur
1LKsdVkYkD10r3uJAcDmAXDCXANg+3YZl5P+ZiRDLld/r9iVnDxOeZMkFBto27WBfops/KIcvvIQ
mNbvlVvnbIKqwT8Kn7uRLWXp6O9pZ6xy1UluG2RfY5tng1gb3b/szHXWx5qPSNZUy0L34bErWj3j
i1ppkiLBPsDfGo/Ggcc8r/TuL4NBbwM7lVhsFXC9Yof9FU9aNnZzdeV11fn+gkK7kw5A/dk2gpHi
ICTWMBt78pUAzfEfsz6L2QX7sjfxRzXP+lvybtSPaFmmLdu+75WKJ7Vyhf60B7u/vmRzPMTiMlA1
zfnORuWDbmU/730R7Rdjf7KF22jGe9gosmD2a1bWfvp7EQ59HkMskDRi2JmTCRyfNsZCtOwfUhsh
2cVWJdfvPG3NXy3FysZNlEFeNffz2Bp++SD6qpgkSv8unv4BjaVYHss4Hulp7aHzva8u/0gvu8Ep
OJgdZzgVmGNiP6pHoYGOxJV6EhZsHoASARCYLrqyDPhYLPWtwSwORjBoeqeL1qoX/KECf+JLWNU9
c6vbxPUYPk4ZxnygjNpx+I29KPUfoZshYgMDdeP5m6MQsX7V0lJOzAlm/aD2IuAQYao43NGRzFpH
5DJlZ0debhft51JmGrLB+K8hm2Gd9crdEAQaiIG/7JgBLm39E23f6o1fZrj9jWh0Y40e/nqeeDtN
QKnCAoA3m7Zj83C/wcnSsu/remycpyljm2misvTnfDw6BZfmFReKXjmDPa1NhtpO5U5+v627Xx/F
j0wEzDfiaztgekKLjYXY0ZDlvyDJXuPdRRKuT0nZaF3sxo6aJc0fVDw7Ex32tvj91Pw97f8j9s/X
20gNGMJ9C7UD/k37x69Xypibyg3mJ7t2NT8nO9fnSu8UACAVfVeSVVhoo7D2tn7fv9aG/wVlautv
+zfUAcyAZhnFsuuwyJ23+CwCE5/GTOQMoyxofKojo/fUHTMwDgIlZDU4+XRSbdOAAITTyI1KM3zN
yDs36dE+g6MfjP38Pawz7W+U8jk62zAutLAxv4pWE/8qB5UGw/Y32QRJpT4URa0HtF03mgEretUp
AY5afkc7/HTVkXmEsOQe+BePoveG//LJoPBcY7AfA6eiRuz1skgpAcyaV348n5VuO+utSlcbM474
Sz8Vv16BP4LiLAFIergG0zMJ2aI7ePMc5OhRu0HE6jEVs9bZz4rWmm3lOgSuU3atv/WkTTi//uKf
HkCBOd5yGO2AxS0wrh/Xnj0GWNRCVz6Krcvye+C04n6ncKXboWfYG0CVyTB1/0m2Ye3Xh/H2/LW2
gi3dx04HOv+TWkFOlhqSaiofcR9tqGXqcRuAsDNaIh4QTAXHurqu+l9/s/WjpRXqVQs6kPZDxcIK
+G8BjU5lCZre2HhICYNhwy39mGH3FORd24/R2LHvvqL11LTIvIEOMuj0JsxDq7dyN/aT+JPV5jl6
9l8f29slivGCayF4pElmc0jL+/HmeMOKDMCPzYcdVhGbuHKUIUPatkQngjjm550NqjxPdw7if1Ok
rivh33XBhipGrGJbFmQtWr23RdLTjkzX7h8KVbgr2tztmiC5VOaHJRk7Vx6lNfrmt7LwdDtD4k9t
feskzofkEHYYYYChEz/08luhSgIPfqPQebuUSThxRWB7NrSlcH8S6LDNKAT7of/43RS3LdTWoHUC
kgpy5qQgEwwHmFSRNFk6O6b6zUGIHyVN0Le2w4UKfB5lFFE/SZpoBZRGc5fHvG9K9mbVDU3QP4Yq
LOOXZJ4Nj0gEY8HG97xuTsDd3Jx5aMdL4g1Q3D+Nvlja4qZdO7P5TxuPSfEtNSzcTE7kDQR0GKAC
tOh4oRdDM+JNEqDxniw7oQ4DbcLkuEi2uOJ7995V1HB8eaavhaY7WtoksxrRzddgvN0rOggEYt/1
GntN7zAl8SvlhFNzioxAiamgt2nwMB+7oLPTCRoWQ/bKeggCutC9WHgluNPHBGdTlurYJ79XJzBm
h+ieCMpAWzMVoSJg4abqjDbhDFIpq5vCabTUIQkGvZJLO03Ji/AFvWx7NIUzjONd35E75J5AQVLz
5dcPnPXTGsIqxDOHIBcky2L2/PGJI8YidSeYwscdJW6306f1YyAm2Mcz4wAf6FSGsHg9pBCGtU2K
vW9c3WZJLXKptzFzJcIjjFZ31NLBzQO3n3YFLdV8Nmc7Madj1wVe/DsS8i0Hie0feQfVAwcSIqG3
gjUHyzkAsNk/MAy2ov4Lb37q1GeMQExHuwdzd8uttaFNCFg5GUe3kpcqXyuYfnN933ZahN9yJNiN
PR1WF/hviogZm8BHrKmHqQqCNf3iCFI2ChLFCtf4GNBn02j6CKOrP2yKGAt2VnnI8Dkm82SET7Pv
VtN0qukUfBntBz+VjR54kPsGwVdmaGe4rBRUVhHOytgYz78+hx/lEfRnKFU8bF0kZVo+rdKbvkEt
6Jd8qLYHfzXGHmHAEFdOcjRmcK80+n91B76JGFU4sMm+tmtbb64anEnHTC6qh51Q3Dv4buvPyRHI
GBY6D6Gz/Rttxtv7RRkT3LLAEijOnJ/680J1WrgxtQ9ZmvsUy4rh2/v6/ftLH6Hoez8cNPMWWwqT
+O2vL/ZP348kPHDEtR3V2XNvzrwul3RcAiu9360RE0VNz9Q/uLYqSyB8uHQ2zuDfqZR+OgBuM4In
nCE4uUy2mB8Lggd87BFpMNyhpLtWQPc6ZO+bX2KMGllj/VUdDtY+G/wvv74A+gT/vesGJPvRl2hd
ELjCT5taMU8uVtRkuc8pkOunIJBDcE4HLwbk4aB7Yzh7Nmbh3zyo9tuuiE6QvSBEiURnyJp7c96F
cJSzVk1/j7Mo7eST77bN8hJWfb5edjK9JizD+TJavWa1eW70uIteXo8uWWznGv8mworBdfAR6q0H
rDJAfufeJuEIEmFj65kE9C4FN1mxhjBimTTcymF77KPc1YYvWFWtiPj1ZX3bWSGPZWEjMkV7R/f/
dsiJRdzOjW3l92OonOuua2eFHxEL0BfdSdaFEvl375dYoEleJSY6ZeoZG0Hjb27y25JC8CB9P0GL
HBVD4NtRZCrHMHHGJb/3r3KeLEGMBuirO7sNBvz1yf/8dVQu2DuMkIhiael+XNN5JgQc5iruiCXx
AcpyW6O9bqloYEe3+/2AK96EZXCNARpR3vAkB8LEUPPmK4chnruQHvFuFwDnV7/inFTt+iKHSXNt
2kevyvt0GXHSHXrSvdz2ySbIsC3PmKRjs793W3QS6mFHK3dDlUhQrYOthD2A6lzGoEy7sqiJpxC7
XYOz671Y5VjGkcdv1RvDgi4DZ1y8aAqrnQY9c9Cp6LVbkv0F6JXGcDeYsJB1gApe9fjlJvESUmk6
y88qTaSPadLz48GmmGrqSVOQOYpBoNkmLsHIsq0PrYuugctUlbZxVcqmG/WtTLemLCj9RKS9ylbz
UMYdFN8BGxWqoGwj3kg11Aa91a/1geJs0bBkjzeOL9mHgiapBbCkaqU+JZ0S8d0iNeSeBuh3JC0W
q37gmjhYabD6uNTQ4TZRkMhIZ7AkZG2eg95wkzGaeqNfvJuhwpETEmq5YjjfwBnTnCbOO4cjWZ2z
SLDYv98u1j6s7OU43zzGO3C2kwUNeVrry462gGvq6c6+Yj4bNgy4pnHiqwbVrIW55Dcx7sDFOmyS
uX0SDOxQX0y/U9qqvHOhjTvpjI/sCjL/W2e3jwVu7WbucxmwkvA4gHC6dGbAmO1/6JADQthWEkC+
je6U4ysTCZmQEVYtgbGoSjlLsNHsulxry+YCGtLWhkj0AX19bnmsQu+ustspvM+kP8hPORkRWAHh
F8QaHrfWCjtQTSNmxtVQwYcSD5AQxta7LkBhh9P/G8KnzD+MEC5ed1JmqxHyJMOX+iKXMYWxhvUw
EsT0CDNV5FkCYPPUlAWWnIh/AsEci9wUN31Sa161BlIIywg9ySz+WDdWo/SM0XmXFB6+4OMOwu9Q
l70R5zsMHUtkia9V6SrdmgFBuE+92RG+euhWWayfp37huJzOsKZ/KlScxGWk+ZqKl5nfs77ArUv5
F2CG5b5AiitJOKJXtfbZMFpjefHddTbGd7j3Guq+WF1NGxdY5gfkjPlqDeVx2HjgnSEgXUDrL7EU
XdmmINOTJqmmDouVWdmzaAvbvIHN8eEd1/MuBqAaUgtu1ir0evXsB8VowD1tCDuVV2Mt/VYF9gYu
XDw3+0LgpZU/b8taejOPbHF9cJUJxp4cVxXYQ3NSo6mX4SZWiA34jtvWsA1VHNSm7NlG9QJTKAtz
03Tmtp0LEy0muRbrse1iAUeAq07zF7ujy8uLKelPZlcJCYRbpkmKUbSP1ZNfOMmE0GvXc9Zzyma7
n+m2xILFwwZmlnDZWDNnZyX7ZUNTt0e9CMLA+KJEr5xTuJWunftzhKh1+bu6K8erjtW8+i33y7Rn
BvR5qW0iBVsV372xJkC94BI7cF8GJpV4l666qIdB8YmzScyXeaS7gDvbUw+SpBs/tpXtp6fGEaoC
wt9Ijo2h8oJZQ51yWktuIGiNvkLrjM8CdQJXJkyOG4u22mYD3eBupqmqk1qvFEJg8PNaJti97kE/
ZB1qSrxH50SBX67L1AdqR22RWppk6axUpI8ia7yVvJmtUGZ1HFBEq7kRPIxFk5pFfqhDg+iNKDRc
VCrd9rBN2++7sh29syzBZzLCuLtRnC9xIyIs05bJKtg0TNut+b62r1Vv4CpQ5H208VyyrVJi1ODw
rKDXciQ2Wb0L5GOqOa+Nvt9FBZtExq17Pf0ks2aGlfSum9sGHe1cu3OdAffysIGMMrf0I+gSFcF9
9TZpSA/2y7qsu4HI5+TQthn3NOwMP8cwWTPEy0Nt9NoTYyH44HpvRRwvtEuXTtKBHiHTbZb/7r28
su//vdiuBqBpWQeee1UX+uedDbggNk5fgHrrKJPSZG3tN8g0Zw162GuZrtmHfFhytEL7Nuf6Iz3N
FKx6X9uxn6IZr3D5hqsvq6OXhnITCKBHhzYDsqrYIorGra60VomS7yw1A22c0CQKs0HlMGqukz4d
Qu+PNpYaqy9tFGy0CdvfrA3An7dv33o39ER6cNgB/IJWiXVUUFA5uVjW1Eg8qVpQ5G/uHCbOynrM
jWAxdWAjxa5oxzb42uOuSr8kkMt1JIFJjH/K3At2p3VZKr2r76RkC2fBhrhD2pOb0E7qOAfkG7nU
yQDKVqzY3X4VwtAZ2MAw4gHUxUlYF87Z8NAANgd3k7APLhFggE3tpPcTMGO3DA5YceKkPhLfqeRw
kkTryvA0bsL1bdmGWw7B3gns2z2BSVSAS9bZEiUgOXFrHRJT3eAuhzKtHGM9l32j7y93iAPfC/Le
OO4LHTBAY/bFonU8Oz9b92zcz/uEWIpq0dzxJksKDUINsGO1+KBslCzXHlduTdWu8cKio+VG4ZTo
konnUK8YGDOeO1HbgkaLDD9dZ518lCwYpDHp/HGEfx6bY7aZdvotnim2meaaKLcgPonHcJIqJWX5
qj1BBKa7Snf/jfSH/EZ2dI2NVumo5X67NqztFFNHsKl4TLYCjmqAo+bJ3/aj0A4RahlogiFgtuq0
NU/91h6iDtHVYmd+k41nJ7oJ7cvG/O7Lc82uGsdu0hELW0O6AVXD1tmiO/ZIz1OpVdmo6lAkcSUp
8uBel7zivBBeGIFOBdpWs0yQhaI92Z65XAucuwhqw0Hb2Q9ox/xLMNZdk50zM/bc12q72Y2H1vxl
zElFIMkgRWP47HimJtwdlSSD+hQnqhYNngRt+CeEUcvBGAG04GBT9Bj5FaQXGyUNQlOVCAm5pjYh
Iy7d9GHn4JdBlArtXIz/Kz3IwdWMz252yTfRnEV7wf3vhlJ0zXuTKFV871UGlYDirUBRC7N7rdb7
M4Zsfu3lMQgyktIvO1hhJNNYWIeEYIrUi7pcXZEsdsmiPoyKYjQdFhMiF5Z+EzU6pWC96u8hCCLy
l6QsR+rUVTiwd6/FbOi1SA6y3nf3i7xbENmh8cMetNwsnZ+GTUKEIbUegxNDyNy0RzcrkyH/89fz
5FuMgvBD4j1hUgLeDcCLQd74d1bhzU2W1OVdVbaIsxFib/38qvniZWOydpvJ/+mLcQoxwgPPAPsL
yKu3UFxZOGMXNGt6l5dpF7wuTAo+Iv+WBBaSKDpjrupTzVZBmf/1F78lQ4D4GWgDF94M1sP9SQVr
GAFhmFWd3tbT0gbuBWB19JK7kIwZJNxIHKQf3Ky221voaFaZDmV9cLPFIc3GY0/t7YfiWlpGk+SR
4h2KQDm17399kG+ZXOjbIADEdnyUK+bPkUcLahffb5Vzs4sFNznivMfF9bmGfM1gbkvjTOxMm/p5
FM+BH3ycR9W27U1TEvLGCwmqHii/bzKjSQ6I5tAaR5V+Pww5kVtOX5dWZUnuUFYadRlJ0ZczEUN0
qk56qohzAcfdnhZxZQV+fZrWFf78F0YGd255OOctk3xS7Ixv4RMTaQ9rU9nnUaSrEdA6JbVLZl4Y
Wh0xdiORBh1JUxm9/2GdwjlOToTtps07e8uR8xw6buZHv7eMV0tSVAimuhIqeyzerscG30SCy3sH
0IGnR5McEGM8pOna9I89XPZiHio/Td0c36ypfR/1VEqfTBDSbpjsJt7dQUQhk8tCIeyuKXXIpzRx
7qpWYTAMcTDYbO56j3jdc4Gasq0744DGbrXUTUukzpDB6QyifWxoA3XMfsie9o2AUbQLp0VUjv9S
rLHAZOu7hhyKU6xWFMH3nR3TV9+skoyDJ9RYS8UAg1KnLaNaFFmT35RLWMePlp660d2K0Jj6IwKd
Nlyeln4InBY7dKZRA2EEK/n/Cy8YgMw3B7xv89GZ4swoTnuvJYYhmI0vy0J8UHMYnJ5k1qjBaGx8
cifTFMQWNmG/lOeC/Bvbv8kCUVLrpwUzAEbrdVzK5JSpYYAWuGoMqo1RiXE6+X8Rt5PmNwkjSAdo
V/C+BF4P0Y0Ty27dgjh3Nm1C45zj9DYWnuGjmge/Sw6jszDJH6iMqD4vFbFFsv+EbmjFGmV2IWEW
z0yGedaRltT45kDcr2yLbzKdJ/OV7tcOLrLtLeLqizkuJfwWkgeYsz29cxuasiCV3JC+iOVSPKig
1fFJm1dhjzTdewGDW0qbsM1tam20wXksWt1NK4xAcqCLnYSsIpsOT/29PUhJTtz/x9T3JmwG3kLq
WX+cnEYRY5cHRv7ym0eMGIgfcWgwYEBgSjsx1C6SgbfEGJa9Gh1BKy6qSTNHRShZkyb/ZCGrJBeT
Shjf+uTjCNhNXkdZhn1Lbocd+7dTSRTqcbbmDDxsxN14bIlHepimsQWbk1byqSwlsTihWyXTo+1X
w3BIZ9e7M7kGkoeZ/TIp7hC7guMVhzIcB/Moe/4vvanswmje5QWxOndGS+rVjcQWkR3TJlPf4qFY
8rMjsgkXnG31H4hByJpT144m0fhrIHhXBd686eKh4SzPDW/oaI9dnPjjIRtnBKlHayxm6563oLRP
pM37KjJx+/iRrNLpODENrlGdBu0RdKYJ7xKBo4ZMndp/IDSgDk8TauKAky38j2UtrUfZu2rCmeLY
Xy0vzO7KWQxeBEqUP/VVKI/9mFkvczWTcD/237w07V54m2fxVLrGbEXr6CIC4d0foEaKuK+UYNIH
4Cq48OMs3DXjtQhOXw3mAx4c4+9QJc4N+YbVccEMcULXnBx83jlwy7laJ9NIqUEN+Mcnj1CVaEAA
QlBXuD6Ma8wrPkLePvPZLN31DKvvNgdllcM7lXXt+9hp+8cE3825WEbxYQwM54Y3mzSnJm91kiHg
wT1kXn1jMjkcLbBbHS3jP5I8lNy2BJp+Mlsh/lzsIP0cD2P/vMDOPyTEj13KoR+LCBWie2x42wH9
0rSevDl3UT2t+XwxnVHeN2ih3jX2YJ3Wqc9PRe7axJapNuH9INbydxtMxcdOutP7yjXHO0LK0qfJ
J8webVLencqqX+9xVIUfSd0q76wkFu8D1NFulJPmGqEWD+5NxK+fSyH7zyGxdjcobowDOEl8K3rZ
spsAuh2AiwwX0DRwb13l1R/bcaqbg9bgn51FGd8SO2sewqYF8WBo/Igy20Zm3zs3k9/Yj7aTGMdp
Ves/RR83r4mXkc2zxMaxUUUPKBVbrxYJard+sxS3TiaWd6ttjI9eMrQ3VqrUJZ1ybEzxuqAnz3ih
S9Y37nuSioP5RM5xzbdY8clgdr1vW3fhrRBB75+Dsoj/g9L4JfQa+Wqxvd2gUwyjgqAHTF6CepgV
5ieXAnwy5iJ4JxLfv3XWrCGebOAEgIXFp4BmHuv8hM/22ARN/U1WucginNHNA0uTMSFsJ54Tu8bc
RSgZ/UVhPSQEzHybM9e46+we9xfjzkVQTp6bJsNCSp7WCxkza9SsKv+W1kVWHia7Rj0vphqkJLYw
NRMFh0pYOfhQp7J+paBWTmTzRx6x8RRgS1jyosU2uj8Ww5dngWf1UshWUjPStXgmonB8nthsYOOH
+kYScxUFwNAfPcSWNi/qaKyiOBiZSpmQwc9ndS6TavjT8sf6KaVZOxkTrPMxVrw9KkqA5k74P1+m
nDzAWTZf0tUeLyTa/6UG58UD99dvepnPhvSLwxra3ZnBpzUu1tgV4QNYXXXLiZXOgfaofaKjSMMz
1Gas0ALYbMmpAb6Dda2lvNZoYCPIKvMbCor5MIWCVwS4rfGnkfDyCmSamVtHHFX5t7fW4jZPDfe+
WZfuK7Y1465gpOHhcufHxHWmO5kNOYoPT1RHki26Pyf2jntrEd5nYuq654oX9LjHOi3Gs7dM3ott
DVV/jGOjv/NH4ZPWT0P8D6++SBc0ke1I0oZNkNgpFUP22M2OJNQmHtpjWwi/jkIf13HwB6R9cLCH
fiEckCt8J1VlH81mQpq+esOHhhC3k7TzNDuDYpgfEpgA3nQVVDEn1FBLEPN+wI5vPFtkwP3TOAvl
J8ycB7woeRZx4c27iTy0U+DI6hP2TFC2eQ2+xU6TfC6QNAxRoyUqEVeh/WiFuTjns0Uqexb35U3S
BNlX15PDrW8s6as7oB9w49EnEYW3nUhvtctojnn5RjRguT0T8NfdZTbveCZkCxTMLeJjnrXZ30Gb
dgca3+C5B0kjHs5NbstgnRnohxFjjZ3cV6tq77tseeLA/8oHr/qrW60a8pOUwKZwqN2dM56Q52Z8
Co7urnDH8AnTkntaMtGfnW5KqkhMWXvMhSEe3Hb2Ir81v5Kt497PxYwHsHTGmym0tOSdZ/eY9W35
x+raKdnfohnQ3ozhbeuq/pNHBhFJakWRPRm8C+nAJtx8qPtZ3XqhsV5MqtnNtCzxrct350dfucaH
NFCKcD9wz/LMS5ay+qZIgjT/Z1PXgxJqRfGaBSRFFKulM0OytdNA3GYZa1cateyQkTBOF2mHSYZf
ax8Xt2SJDfXYY0d2VdswaX3Sh13JXlBQmOc22DMYixTgEF8eAamnkfS/MjzMZTKt2YuPcZY+Nucd
EPyI2DKtaK70ULrxeSt5MbKOzFZinIoAEeDn5mxMui+xCKtZfQdaeLUS73yqMNzkl7AWtfvXjr1C
XRAFehiq/+LsvHbjSLI0/CqDvs/Z9AaYnouy9JSKFKXWTUKGSu99Pv1+UZGaaVYJ5GqBvlGLYrqI
E8f8BlXbzdT1/XwLuiaoL2qf8QbqVEE5YRFjDHZ+F2dd23erwLPaeNsh5hdulaY26o2i5DQ0FD+f
3GcVyVX/Csl6LYPElJDiKfgbDLuK8Xv+3hwqP/7UWkHRlsiXNEV0QMzT1zQas0mqq9cMfUfL3iN/
EFTRqkNSFrHjAQH9aduCcHSRvKkwYUL4IYCn5Q8xB9cK8Q1Bh2pGJm7LhDP2Uih6nUams5EdI++o
hFbNczl5IF6irH1GcDjB2K6FkGB9/ylCp5ducjswXw6uJtVmi7lOgR9U4jNkp++WzPYXEjIn2nbx
0Cl7cC1J/m5R5c9mRuMFnyNgNiinJB4AOJcaJOQ1OmGvNT+oWQXMRp0GUS6MViZaMfAu4B7fydQ4
UhXRRlvGC6D6oYOuYKlVzftFQm5hdHm+mdr21jc4/Oo7cim65cNCZpKDE6PT5yxez67STMEeha+S
a8rBojIjIXgp+4NiCIJ+1XFWsmCFgSEJ/CrrXEDEwI4LaqkcSYTy/y3jmIV4VQy60CTHtUoMhCXy
XNYRCx1CEl17SQSrMCmjxUYVJFrX6gBbBakgyYFZZkjybhLD5dvmEri8dA+XyU6vickZhFE/T0Xw
cUftMnR6q1cumfUZEeo3Dq+m2FN9T7V+7/dFXfxoPdvB2ZG6GCraqmcCrJZXc4AFR7/WIYKWsFjQ
oWeTS8+KHKn2BoRhKPlSbsFYHJqjaorRhe+AQKFp7WsYka1qvQeRgeI5zkPTfmGNFJUr2JhVONDu
XUagsl9nqy4vfaEQtnoWMpIPdKqDdutGSDg+I+AeFIwsfTe3HFaPLdqLR+SsQCKE7iXFOlKjqwLH
EGQJ5mFGeGWvFXU3IbQvO62VqY8joA9H6XVk8Y7d414yfXtdn0FDK0VC+3aVG+RE8PUkAWZpIhty
DpMXpZhB/cTwys/0sy3LsJoGaobrFCOpPvTEB/VJWFLrJk7Mkv7f0nV0jij1hUpLZSHahvYYamO8
zwb41uQ+flJPZIPIQnIrpg7fC1oe7l5cnNkmAzC4pWI5VgL98HWSCobdzMCkgFE0hEEmBGcq8wNS
gEI3sgU/o2KTGVM5wDazRrdDuPFIuFvm0Avpz676nhplNL1QLVcpumrj04guWPN1oXEW+HARXSSy
oqErFXEXQ1Ph77XgEbxo8qYNyo/T+DkmLKiPKgq+JdHZC+NsB7W07z9TtUVfcqEyPDAv97TkoIZp
h+TwaNT06Zu6is0nXNzi9CayEXff1dRj9nsZS1qbyT4DtWNfvQ0yOAeKBWk0XDG//U8nXW66Zcy4
EDF6SYvL+ki8UT1tCRQL0XmhLPdHlDgOTSzJvOzEvB4ZBzhtgCUyG1EeiTuu2bXW58EZNe9bEZJK
f02sVhT6tYSuLZv2SI6QXaDGVwWqA8q9GAS1JST1QzYVfval1JEo61Y01MYJt1ITQeVoLePRIkUk
MTZIGIvbgcDez7hZuiBifCc3S+rBo65T6Q2APuQrqvH1y0Sz3p181gLl4/hJTka1pgh4U6bUhp+P
MpFyfiBP7ASgFYErH01x2uvukSFv0FDhfw6+KqZGEs8kY/RyzE8OA5vSSybjubHAbWTQvHEGeL9w
l2EGCZyLHAPpkyMMBVKUWfVxEwCuth5lKEOYWDDrlmm4nDs3soGiIo8IvGCQuP2sbcQPdsdRh49p
D6guSban7yVuURsnsVPLHnW57n4R36kzCDM4F0p8J40fwRmUy4S2mTh+iqoUDy+liHE8EMfPwtko
cn0sGIb0ejbieCIDsQ1cgN0ORVjAfsDbC2ZM1CPFEW48UM18LrleWjl2i6NBgBcMzLfmJ7uf0LK/
HCfGXaiBJjSAsaHLiyS2ne0y9arGGLLFZW+nIhLQGhQ5j5ygTqUneEQ5YAAsVLW0iIj0C29A6jD+
1FmdfDHX7WHRcpANEmghv9tCglo+tiT2FYjd83urGidSRiSDL47nSDIqnMI5DgSOE0jUEzoiXo7I
H36tlMG+R/J7lHaoj2IO5pz0XX3hR3ljdFtEY4o0vaL96Vb1Xmtwu2Ie7dnjiGKlnbH496h3JSqs
VYduTn+VZKFgHfZIiwKx70AkICe0SowUFu/FMhNb4MGGWYt5DrhokZVC0TfCcp3madl+a1Kt6PQH
ozYzM9pYaj85w07TJiEBpiINyZuRM/Si9wQX5CeGjgReTM8xzQW6dzxylLQRB61UbQgoQAUl8oiz
XjiNpMTit6JGKF4g4ggiAyiP0zAfGCLvSpVqmfLwYkpmQ582BJ+WQaIU7euLOXdgjCHcUZQX4DkQ
k7sqUPbl1uYjJM5s1VlwnTMGz+mmVygpN8AO8GC6wxOD0nQTGOHoJJvFF2HhcnkuuhX6hxito9QD
dnvcycsylhs6D/vW8G+DSBlnMEG4PxTV50YDS7UtMIPppw3jc5OnWDIdQ37/KFMco/2K48lxeR3h
akFQFCztxANqlG1tp4l4V6pZi6i7cJgXIQDJiYskAgJ5FAHIWl5gUscCKmcNqQAIFV0tdmjsh2Kw
Fo2OOGbL+qgC2jA94RXWSoxUDkqUTQw+EA0klkt4FNntTG+Abr3AJJY59AITYvApBu4LY29Rf1gE
35QG3VHoSlLrdMHllDAH+MyGqVK6vE8SJKuMu4KkD3O8PIYZASmYI5h/FxTZjNxWEqcdLfoRTwKR
GgiDbHDwACZ5RbmNIBMGJi3ZEWptI1RjZT0ngLroOINKzLCZOqbRC7QQkiduQpe9YkROs/mpaIcZ
Ft9Fk/ZSFUkLNyZpMvJE7D2IV9a1Au2CO1hI01aTiWH1hBcQc8h4MhMde9DEOuoNyNSWJkzNB5SI
zKKeGhbZsmbqUheDeMA8Qu6m9WvU8/eu5zNj2EfQs47k8Jx0jKxMbBsJInNTVWyy5b0i/S12CuAC
sQ1HvxW7Vx0IJ9bKa5DxUDdjXQ5ZtpZnG610gbWYaEYOW8dQ57wAtmjE6KIua2apPBD7PxYgDSqQ
l0vYj6Qc5gKyxFdCEG2XMmlCxrfRNjnkYuYfsiINikbg09o4bHln8pBf9jR+cPLZqYnjXSUF9ybN
wX6GM85H9WUnVQGWgK1IvjkPL/QDFvewTIIQFrSOI+EN7mSIqLvMWM0JW58a2iy/EQGQo3QkHFtx
5CwhGySSiO2dioYbEE4JTUhjZE2sjdSVBNBglntAV8agXZbH7HtBByqlgXPSdRhpRL5th2IZDyNf
tFxyHghF3pH8X7qEBUnNF13y7X9+TYmcDOpGfHzVHOk3rQCAk0LNDcoR0O87QURFhJ6jeqKL1yn2
apo9kJsrFR23vFwFTLZo49NyUhEdkzBa+R2M1hUfXWKbajcQHF6Jrg5kyr0c5B61E5fypATD8ifa
B+ITLRgtwLPigNYaK3SxXMAD20LaQm6KqoE5FeMPLCXCJYIDIR+xXHNJig8l/LdGTZ0MCtymwvV+
oujkLbflSAtgAVxKGGGIMA6faMF6SQgPLgdiqctzwJYNDXqUR0+veRaApcaoxLtXp1HIRYiXKQAr
kh0OjlCEWg+aA+870AtRiS0mdr3miD4Kel9CW2OuEVVAXpX2BhLCfTeKjzERovllBR1sfssiRr5o
SSxF72yBluAmpNZ+J9n2HUYj/E5Rrol7OeYwS7bYewNgvY0Q9QUY1/pD0AC5kSBr6i9wLRjKiODf
HjM22bQJDJcO5tqiO+hgu8Bxw7ehGBX6A4u8QaawbFFVOOpyDqMukDwy2V2Obrw5yTJNyd+qQvyj
SMMksBQsOdl9RVeDBWMfWyMSh7iIqMgsqjmigzOZ6QdmKaCQsYwUSdz1Jb1R0htfudKkjRfCd9Q/
CzJmORcYtR27ZXKtL+9OCY1RxLZju2XZcTLXHIGE8ByLXMOCBgHxIaCrMn3y4VZXX4GZU/I7BDLx
eWW7S43KY5tM6oAsPgBqmfQ5CV7SKHOD4GjYJXdI1ajzsK7U0dPIekQ5U8S1AKzJVJuZgoDdLMw3
Y3bLSchyqUgQAf0VpymUbpHGasDbxckk+3OWEYucOPE1lrnEKHKQT0LXOcCT6WnR2VhkHcCFivgu
SwFXRvnlVcOjEMd5SBeLr+7YRzC/M/qhPt66tBNtc21LB0tNJ5e3NotIzoKIXCCiSwDC6kDkJbL/
JQsgZQQ4cIvHjWbRI+6MoXCXQyRrdMFE/qlK8XezBUBrx00nQYngjMQraowEAiZ28h2w1XyLjLig
cP/k6UogEbWYyPWXAl+wovmRnzgfiUdkm1IlyuWwtDCxc5yQkcImAA5rdsS8LS2XMohbR8eaYFR3
oa2I83DB78mFLMWkMXJreXkIMIlvItmA5IkWkHlDaZpFZKmGcd3cZoTvAg5Kn033aYWyu7uSiNW5
rgV4dqH7LKej9INZDBIW0baookzRtuAY57q/0sqMXGUH263uccRRAgH7XOKeMxQCY7goVVVSouwn
rvWYowXwLdnlSz+loKgTaWXdi626lEqGPYi0oZBGMEuwWuSsFq5DLjO3wnKFIlgIuIWESldboX+B
L5fhNhyk8MvKPZAFcUdohQl6gWa5YTuipOIn9JiWu228CC72/QKXZbIsHiiwp1Gt92j7u9q0oUcn
dLVToETsS4nqtUXxz+uTAlvYbrHq6I3xqQ1U+3gqNrHw3JDgetkWWNCachM5Ma1/itLKFGlGrdpC
4AeOvfitTpYz3tksMOeqIpRxUDdHks3CW6NfOvO41lyLpbAkJr2UipllJgUIV4CIhTyI+J2q2/EP
GpnWLPQLBedQh4lYG6NZvJa0EH9GeUu/GKzWIXVcaskFUy7zA+1Y4ncdcMJgG1aa2SYPhDuRmKO5
LF64q5rik2oTgxGaoZiIuj4oDweW7BLHwxRyDj/YQt2jKyGlCxZut2mKJLpMcKErVsDdRHBfYOjL
pnACdPy+evR02X0L4NmXwhqNhIbWeTg57MzEaOiXLw0IqaK14Mu9sQm6bea2cP6YOx1T0aXlvKDu
BTmXTxjKrM+VyjWDbB7mEnS5KAgMsBdMdV0MeTP1T0pIk5eK0s01bbyaNWxdMJuws7Sbb0tg/6N1
B10M6TnRK539Mg2fx1olh9o5Sa7HhzYBXWPvQ93uLReKkxZ02Aw5SCqvLLrIXbeO7XaqngO9LPpx
A4NxTu4otbV0Y5dYDHcfG+RKTHejQ3hBTtaaZ8PZlj7Nof3cO6W9Ed0o7baJkfW67itAUeHeS6nE
301h3xmX+ZQX6VPOMvphKYx1n1K78/odWrszc804m2za8UCnroqh6j6pZVUXd7Di/Gzv99wfKCoD
RHfBvkPxy9oigmDu6fmF3buxZm3tMt2f1H1ZqMN8raMKs0mKWAdRX+gOeUFA+AVuYnrFtGpheXcb
dRjBfxlNOFzVVm8XdGqo77SbfM7zAYJXGds7xG081H/0eSiu3Sid1XpnNl7bMixx8T+LdmY6KHgx
RYXS3SpOMqbTGmwuiP5VxAhwVFZW7g+Jgc+ZmhsO01oFjcB1N9fDBNTJjZseUzKAZea4LiKcfuJV
hK8U+O2Q+GBvVLaBAaHeVK0bH5ixXqyUMOkd7wqlqKi1V0avqeO86ZlZDfdpYWf1l8LKQbV4fWgN
17BIu2KHkK+e40SXqhcRchQoO8N2uS+x0i0vKzqe5q2XNoVybRXoYH5zCcrlt1K17ZgeqAJH/XM2
g3dKtmE39ma/aoCZl3SGUTv4aqcDMycEyD9CQ2F8tbIWya0jupklIiD1Fgd32NJrtOdoNXSOUXy2
ZtIrQXEb6bYtpjmycehoQaDcgIzR7XeAZHgzq9r0psLAnyJhFoXUP0OoaMos8yIQaqfTKoNNinqD
DMsKIBbi6gL+XhJlmeJLFkIEdaP/6NJppziQKVIRCErgXsrP6NJaSeqySzT1CHs9uZVwYvlLYjm/
JPr1HM7yt2ja7PBMeCox1VlmGXFmDC47jH3gTxsJUl4OHNnylCNSH+WnY2xGX4vF6oCkV9ddQSsb
/D/SJxjF6PNsffD7qlbd+9Gcc8XdJq3G8CKKHFEizRpIv+cGl6gCGPExEf1PzSaSo1GriG4N3Ivi
sS1dP/8atYntfx9wiIcgqfZq9r5NWxNdiUZwG+XTTkvf6fi/JLo+moaIDrOVqq3OMKhJnxxOsmlb
0F3sXGQelWA0NsjSiv5EIjVyomNWEvCQOhgOvKmj/Mbq4tLdT2MLNNNXdRz37iutC1J4vkyjccPp
LMqJBntibWhIKWDf3ttG7s+fOhIPPMlsgJT9GmYY/YKt0SYwQ77oqR5ryr5o0gh1uIPT8Oud6gKo
j+b112HdEf4UuJRTWHiIYUdRgGnluip71KnHTLXKbVdXdbUCNKUrUNmwI70rR68C/DQNQUwKYLnJ
DuGreme1Q5juvXYCnoQegOMBXA/1h0RVKvWugWG16a1qZGSUpn8lkFefEO9OLgrd7b5x+LTlxpnV
aet7lg93Zwq5aOqE7TVNRBTv674cnvuIHtwFdV1xCOli3mVxb1y5cd9vu8FjI7b0l83vJe7F+abB
mLLeh306fqtNIGUrd9aHaD00Xfm1Ckr0WSYwQBtY3c5DDVn5Gh1U8wYRDyNfzUMcTjvdyqo72xrj
r8DFq3uiW8pXjs0QAcXM+BCWtXLh+MR5GKNTf6Gn2gAXmyJb/QwsmqiWlkX7kVw+uGr4+Gm98ovO
cDYBWM9Lne73d5gX4xVirCGoj9qDr8IIgpeXlI3+lRFEYt3qlHk54t9DrK1DBtrVqq4jOuSa3dv7
wCHTW0WMtexLy5qjBJKLG8SAwfTm65xnIJAC3TZQS2N+B44iRYRk0iFi6bFa3WKdwLQ4d1I92cQU
SMztquLSySJjE2vGcBP7gfbJVQvnM6pD0bcoTLorkI/G/TBqrDLP9ndeqavgl1LzSh+axF239O3H
la769RVSG8VfnG2cDD2kpb8Uzcx3YcC+o9T70IG8/+RTD+FGPcTvctXLdq3eenvLUsedger+Zz3T
wyc/suy15SXRblBm/xDGYHecQU+ZxHb6uEbSpbrLTYOQGilhvwFhl1V7I3Oi72OhaA+N24TjNunV
+hvY19HZgGykAWiGSl+uyiQgsvioWK6rGh4k3ktoZ6VKUt657Vg3W7XTs2zTe7kB0FSN+j008eFL
7FGLbfKgUde66fcAQ0bzOkaY+dbijL+egw7cYDhZD1pepbsu9jGOR6n/Erm7AExkOwz+JdjNLtgS
l4oHt5uCG8ReG3dbksG9H4Jo+K6XbUD11rtM5I24bOoND2I8GML19J06YkvEJDp21XWJIvItl4W0
Gvjzrurb7FuqIDH9GLs9jt/8i50r5gM/Is7ML7mi5v6FqvR298GbADNZt+4wOjAKKb9nz360XL7Q
mKzFj0TBHgF1AL0A1hmgQnJSulDv6NcUvmZs54lWMDzLNhvv4UMl7a0+QCG5BJ5Tapf00RLt6zTh
QxCvXW9wracAnkXcrRyN3UZs0WkZt5sR++zsXlX1DLUkEKNI9mebZFJsbzagAGKhF99HGAKAJGqp
aMgHrxD/4XxP62nYZLnfObejGqtMogtVVW+GKWC0m/fwWPf6FM3vCqRHnJWaWM27KPbguGNjoIde
DUARSNoqVhmwX0zQ6Qq8JJgVbfA6aSHMdEGlXrIMUuNd3KXW/Kad4UucMIoqqHQYtBccQCpYXp+o
oyBCMmkWSK4L40hZXArElhNusQP9nxfu3s2//8WfvxUlfaEgbE/++O/HIuO/f4l/85+fefkv/n0b
fauLBmTCqz+1fy7uvmTPzekPvfjNXH25u82X9suLP2zzNmqn991zPR2ecUVoj3cRPBfiJ/+vf/mP
5+NveZzK5z//+PI9A0MWgYGNvrV/LH91+f3PP/BP4aX+x4RcXGD5W/EEf/6xqqM2asJ/rAvmA18j
VIPkr/3vv33+0rR//qFomvlPkJgoTxw1vaip/vgHwMHjXxneP1WTKa1tOUIpQ5hY50Xdhn/+Yav/
ZMEZwGlRBrHIK/mrpoC7wJ25/zQ0pFpoIeqI2Dnc58/X8E7yNeT347Usf/67eftLVpHpmjbEDjRn
HMdwXEc7GvT8TZRxiM1RDbzJe0SfzxlXEMxaUK82zfT93JYzKQlWGdr+b6/q/3RRJH0szSTkCaWz
U70Zo0ItFtbK/BgoHBgAwW0dGBc3An/LHsZ4ZddT9eG3rwm6HvlJSEw2ZmUn2hgwHz2Q7eP4ONjF
WHfrJK+sg8nYmJl5P8DzV3st67+/ftGXujbi7eIKaNGzcDCz0IxT4U2Xg8AYu2B4jBn/e3DGMB6B
14ELxEU7JgbEw0DRPhpmmsdviJ1oLxXSjpfmm9K/RQfc4yOfhIgg0+GGmDD6xsrQk32TO9bHrA9c
+q1ZOV2MrWfeIWwzz7e9hvLChVl6ZrrTS195rulbMKaHE26t9VAb7N3rb+V8zXmGBjxORZSSSZx7
cmuTWo26GhXNI7IWiKE4fRFnLSWgNwY4YIBY3cdIGdjK6vcvi4qCCVoKQbQz/ZcWHz/GlGn92Cpa
/M0yjSbezMkQf57IP3b52Af/jyuaPCjygcyCzuV9yG+QkeuC8jHoKvcmD/xU2TqFRuZXea3nbYaw
gxfw+lOe8NHEh0c/UKg7Uifw6U9lrBIkCVJXycpHp/fdFDGMMok2WR+3ePFa2Ix+GErLn5B/sJzx
O341fnaI+BDmOujcbv7SOkDu2IxTkaMhN8TO9FFtB924m2v8GZj/J1py08AmTrcFjEvzeuortYUH
WLbxit505FxA7J+d318zfBEd21SM7FTY2S/VdPKspcbCserRqBXjgRpGfyQym8pqyHKgw5GZIJzx
+pt8KeBzfJEWspDY1bqmfq6mQzGAznakFo9wVPHs0TqjyjZMIbWvHVqfN69f7NyezfaIFWBRYLmb
BKgTTTw3wVhZ1Yr0UUNcEZcpbZrVqzlTjOEirqZ02tnjNFV7NQwgofSk4NmTAR4lf66UGZrvG8+u
nT08bnGm5qJuJxQ7OWlevm96WBm5qxU+xiWV/YeCiYS1atgtJbaSqis47Haq9INDEtyG2X2NJuZ4
aXVz6a3JMCY4HD0TqWBdN7GWx5vMSN2P06yz5xjwtd0bMnwvlab4QI44S3B2RksXw9rTkDIz2x8T
HBgfkMAYIHlDhDJXAuBsT6sORCuUHHDY9VOYuj3pPmpn5WWuFpa+ef0zngV8h6DLgsFeGx2ms4Bv
wOlCOH9yHhQ3Dx8AEQUBiIG8zNfTaPb+CrtYHRCFQ2fsjSufcMfEK0B5Dy1FmGMaQedU/MlC2G2i
1xM8FtMkemOOMn6qNE3NrwqjopApGiqCRyQMTUBnrUKlCEtk7ChB/OwHZXs+XuLRWtcPbYURx8od
cqva6GY5KWswuRbsotFySkYT/pgF+wwl6eIH6pCFvR5cPCi2ECQr5yKI9MpYT5qteGsOvt7HHjtp
oKaNDGMPjZOrziO9Q/1Dnzbu9KUiPOVXA32dkHO4acFZ1nqTJru0DObGgwifGfMOqcCm/VhWodL8
hZK4F/1lgj4GfYmKEpYieaUNt3GpOv27blAN3A8aWzEqex2BUmgzpHuA+l+2cWlGDfCPrEXnGkhI
lL1LGgfHFiihVHb3VaUmkCKzoG3vCWF5j492G6f3bdmH5vu2BUSIKgO4wOoiqDO3unCYWSOEEzMX
2AGfB6gBzdeKHzI6OvpqMHrd+DKBxAKkgqxSEWB+q/amt9LNOGuIWW6XBgk1NWiGDd9s9q75Wk16
0UVVFn+GlYYgm4+9ULrq0yTor2qdAeMOt1qTVrNfq0xDVd3LbiJvon9eVV2umTtAYV5Y7M0OZOQK
gbjBLFcZQhF4IeV5iqGFVxXGe1zEqg77zqjSLiN0P/XrCSRI+f713XCehABPN3SDHE93hcvlCWfd
UXCjZCfg+dFlrr33uoRWCjLp4/g+o+ibWKtO3m+ziO7sGkOBpthHTKMNSCPIgHxDXD22rh3fVueP
g+3AUHr9/kQQ+y+lmS3D7bF2wOKRhnj2qX9gFdEhCNreeyjoY7Vf5lyL3E0+93X9rEd+N4LLg524
CZSwBbub0+R/g+F+FmW5AV4QSqgkihg1nkTZLIzUrEwG/wGEbBxt40GhMd+ObQRIwMPQ5PXHPT9j
PLTX8WakfvBEPBCJ2d+S/Qp3prJULfeho4Xc37tplTZ7A4I/JbEaKfq7ukDVizS163zw3XFurTVM
wfILPFnV9I0T/SxUipuhdKXsQKqU6djLmzGYL5AudO5DbZQu2oSpPY8b5rCUyyuGS26wacOp75LV
oGma//jbr8Jg8m+zMC1GgkiFvLz65LSDR79Lf8gUO/DuY8cloUmT3AWy28G5UX4UdZZNOzMZXGWA
ZVt5H4vMq6InhDJqZfvG7bwUghQrEfFL5iTk6ybdzdMv0yGBRtcknx8aXa/bh8oIfGOHeBXevRCB
QHBvZjWsxm3YG7l9X3Vjnm7B9XbBLiNtMK9g7mvhw+s3dXametgWOaxPUZxquAm9fEVGNIJ7xEbp
AWhU3R18e/K7m6aleQjjkShyScfPjoTnh5JtSK7Tbh8Ws/HWJj3fI/gnI0FBEW1CVXBP9shst7M7
WWP/kGv+CAjF7Oa/cFzX7LvesZX8DclK/aw4AX2EXiPhii7PuZxD1Be5S6bVPYxFgKdr3tv2tEFQ
l65l17Y9M88OBsY735/84Bb4XJM+9grMha1TuV3+oR01HbuHdJ6Sq86f0+FiVOg+I+EfBPNVlDk0
5aoiNIpixXhVjd6VTV/hDgqBQn/mPMs1CINg1S48SMrDU4BNtrH2bVudHgBKGW9Zxp/neVgq4kOA
86KhsglP87ypBgyKPF3z0OFdpd5pg2c/czPDpzIKhmRG/wrUz5oeWu9+jkejVLG6HL34qjZTx7nr
2pxRG5LaNf5gzOOrS+wIPWxRp1yd30pwWG4vg7XNlgXf7DEGJ3qZL5djAMKX3qFSkp90/cegNMwO
SrWqP8S+81dvqca7imbZltnhJzorxuXrm+FEi0TsUNuif0DMoiRwGY6/vHxbVppXgip9mEKtA4Vu
RjSei89Ygqb3wUgFNIKYuNBrG1KhVvaXJsOZSxUOGBwKP3yrWjjfFLaD5Ihn6raq0oA/ieQm2CDG
kHXzgL+UWccrN8x7+iajiVHEpsHaq8qQqbLb5Jlke462tlaR9pkwHdX9yJJKARFj8uy1ZFjD5NzX
KV3PVckU2rrtTBb9G8H+/KTlvYG0F20fFSOEk/vFWoGaoE7Kh3iKtedIIClu4Uha2HomIfaFn2ww
ai26A/UYPwd+nrlv9EPOt7VDSGDZOA7aCmfrnEoRztkYpA90O/odRw6OdpVVID6Rls1dk9Egf33B
nH8hxwY8SAAVCjbG6RfCC6fs1b7kgnmvoeQAnfw5DoOyOEQcPs0bicQvHk8gCulvkUsg/noSq22/
shAf95IHxjvlNs6gzzekvbsMA9gLH6bhxe8/ncXa83gyDLxPO3hI2dLOL6f4gXnt/LHL7cR7D/jT
U69Kj3L0+bevhhw35bEIUagBnRzWQw7BP/LG6AEuoXYd22HJ7BLPykZ4IXVvxcRfvEtCv+7RXCU5
PHPJaBuMSRFpjR6ieAidDZAiv72fjRF/Fa3kydd9B3DiDcvPX6TKLsghmsQeKYl6lgEYMC5dy8+8
QxNYmXUZ+Vn+HX6Ca+2YrtbqPaoJ9vABtb7wqepqdVgbwaw4W4BHRXqTeK5V3sWulqn7zuiYmL7+
AX55dwZZgCit+e80XQJC6WF94DgHG9iPzawFMKoJN9syB5g+uTHdV0rWz7umCDVSAtMsjZsJku5w
oedd9a7zsza5KSxSynTn+rryxgI5/2Qu1h0eiseia0EO9TI4Vwlnw1gH7sGnk2psU6RRs8s+K6zg
E9JyXrNn/tN+ff2dnG5wtLap8FFapscmcviTawK3MZTIbsKHTItqYByq3lOvuj3mt/6kJO9+92o8
obBXF7bqxpkIV4EioRIOunuosyLKrhFAKtzPA0qO89bRk4yW3evXO83OLZ3r0UFUVQ3rlrPKDXgU
oNeO65V21T0BFhh2CoHM2ThAynDZNDS/WaUYLRub1y98+inFhXmlmCxzrCGPLv7+bzUKZqa0KmfN
OXAWlR+bJDK760yDVecFmv1V7SqleOOKZ2WRuCQdRZUahOjJ0768JPRsCAdz5Byg9TjRtd27vY34
o+OiJga34K8p6/rqLsPj8Entsszbh2Fq/ZjCjLHf6w9/ekxyJ7owO+DxIRGdvXXLnUK9wabg4Ja9
tpsVb9w1NL0EwkJ7b5aI5sTwGtdIM5j716/8q5egE+w4olnN54lgiOhAhg6ncyi8sd1VrV7fZ1qA
mFNsQ0j0g0t/wvx7xXLYm4iDbdJxHN6oT3/x9FRcomHAomNTnXx6CGzpXAEIOjSx1XzR1Vy/rebk
k4NB3K7KlHuNAMLKS363EkXVDuk2sAycZ8ID4uR4AQAAUxD68AEjBC/YYQ1TjltEe8M+xGFUKW/9
thrLlWbpSv7ba49riwkck1ydRz9t+5JAU2uUhnVgbxlhCsCta57SppkgSU9dUu7Yb6YNuCUwPjOJ
CZt4NbdayZAUSqL51vDgLKahZkcblTDqMSQh6X25E7I08MxOi7WDY/f+NurK5rEuwuCqb8z6++sL
7heXYvpjs96J3M5ZuzLAx6mY6IUfArtudECpAaDqVLBqPodDXlVPr1/uLKyINhRzHxFcaJKedqJi
x5nNss3UwwwhdXq0qmHodu04+xEkggHS3kqhuPPf2M9nUZS5m+i18InYWTSZXr7PiqYVSWI2HUhv
9OA9JBJ9WDNqKIoHJavG25E0fthOg+p3b9QrZ3uJK/O8lC2USzhMiL//WxjNW33KNScbD+D1awQk
QPfO1kXvVGgcJXjTj5tGGSpMirM0zy+S2TKqt5b2L165iCX0WHg4TuWT7ezPZT9EQFYPaDynN1oa
dfdTGqbVxwEsy3yHbWf03CjdGCEzgm45DhVR+Y5WMwI1SRvbzUpIdvwA5BfGmyps3ea9UkEZuK7J
z65fXx2/WIw2hQHimhRU58Wd37XpEOSVerABvWYXXhLn1SowwMVfTo6b2tvfvZxhiCyK62FFePZm
3CpyxOC/O5Dxhdqq0YPUXKGmEKsbbLVB0P325YQdBOgqGl70mU4+BK3iCCHtrj9U9tS3FybcEZQH
zVI1L+qoMpI3XqYIEn8v1LHQwYmTcplw5oi2zculByi4GhXF6g6NlSv2FoNMG0tspMd3rz/W+RIn
ISIBAwCDwhHOFy+vw+Qbm9vJZH01uIbsYQY1yFypeX2TFYH9eUw1I75AYa4ML2grDW8ZoR1Dxulz
muAvVNMCjkhQeXn9us2DAnRRc0DuWzWuE7CB8Ro0r4IEElhQdwP3EN9Sw2vQjpkQbnZ2ThhZBrAh
WDyAkAYlWpt55fVbpLMq9MGmqUZ3rfLy6uNkeXm7Z5bUaDvmnKF+lWPOVZBsm5n1RjfhfPVDDdAI
j4yLDaqskwdBQiaIKx/NA+yirM9WrDvf87IPftSO28dvnPHneYbou4oKVadOZVx3crFutiM70oP2
MDZKNN86oWbR0gm0fLjQah2kd+hixLapvDqP14UWl4wEQvQdr2DhluUbMeo8PnMzsKtNG5tKisuT
JdRhgKBSkDWHuOiSXWBo9SdYSfaWGtbfpENdX6OEp72xHc/jIuJd7EfRyiJAnh4KNBR9G7XD5gAH
321XM8bJJQpOTnCvQJ2+Rabc899467/aksxyaaPSklDJsF4uVTMDMFqEY01SrdTtNgnT3N2bVTHp
b1zoF0sJc00cQZiaHxv7Ly8UTFHZuFrBnpiz8Smimb9G/oxmJyoab1UK59cCxUO6Tp0uWkqnjWE7
KnMza7zygK6ETaeS0yJapYbT5ySsrfXwerT5xdVISylKOB4EtEK84r8dqHFr9Y1la/n/sndmS3Ii
65Z+lX4B2sCZbyGIIUflnKkbTEqpmCcHx4GnP1/sPrttV0qn8tSxbdY3bXVRUllJkREBzj+s9a37
vu3WNCqk3SA+2JYpvQqh/rmfHG6/fTkfaTrFcMDk8cOZvS4W7nSG/ff/8LXWQDRRUEekRDUizmHi
Op9t/H+9FejqLY/tuXkukz6uY1bSDMccQ9c90lkGwYg1O+cg52A670dxsaCYmtkU7A3HbZpPnhgf
0kEdJFnApSk7BY3Pb45yJg88NLSs7lusBbB0HRiiByX6PhtIdCCrmF3limEBwfiqkkJO9gNeEts5
sIB1yjrGuCbz+ZP79DdfARsZnAtoLWn1P5bm+ApMRdZade+Inl4HD2hYAturDHZSq6FhCn9y8/x6
MLD74WnCEMP+zV06eaNZuE5Z3gt01Xu0emmJXYGYIMuCigs402+LTy6z33zrAVpScnFJYkSO9OE0
Ltnp27mRqvu+6Ps9p/DRM9Jqr3zC6FAHD3tIRflnw6TfvE+KH67rczHCHfzh2ibkw9e14033me9L
yInNkEC/sw5IU6HMzUt1axiyNs7q8vxIavNyARO6jup5eUvHbb601WJfzx7CZlDDQywL4pP+/lfB
F89ZycD4LCr58Ll0vWUz1Jqn+3CCrYGMIUTVvIkL7fUaY8LmfTLe+ceM4c/FBNKmf/QI9nmm/7Fo
chihksylx/tUt9i1yuHIowPQcpfP3p2rRRXJrBIQSaCS7XpnyA65EtVXN5hc/9BtlXxu0rLPI8+s
bRjXZr9doOgsil1YpGvCn1/xQ1TOi5+D2InBC5fXIPSqL0KbYRYZ6bz+7aICEqiDBI0dL53Px/ME
029Lx8G4W0nlBAdb4o1Ejl7hllu0Ydz/3dOZzRANLyNbG431R/ELSp9pxVXV3vOTMAvrwbdwWi5A
DNjmmuYnzdWvJwNtDZ0rpQxl3y9xhWgrmoV0m5ZmMq9QvWVVd5Wb/EOMUjXnf/scYgVLycSMMYAL
/1G5Sn5KSCAnMr28mVNGMGnYKsUUADZDlI2tVX6mE/ilWiCfnaSBgM4RRRr7rj8/6hr0DgAKTOOu
HsUS7hDT+go9UUV5+9ff2i8HAS/EsJYh4/n4sT42qUuInB9Gq3E3b9P6Bc1/TaOQlbdN0zss4wP9
WfX52xfEcswpy232yy45K4nRcaSX3hWdr614nkY9JelWFEVicLyuMTGokN//+l3+crUwtLVA9bJS
RmnyS5FpucBuQJIadyV3yT6Y0u3BdZTxY+Op5X9ybv1ynvNafGVOyH4U1fHHr27L8SW4bW3chasI
h93WD4N1XAPlpQnYOkyHipqvPaBgwO3412/zN5/tWeODAI6fAfXghyOTeMwJW9GY3qEQUACxh3QP
nK6+kH2Wn2ZLf+aBOP99fzoxEezwuKSnZW3CXEf8+Sq1TYn0IQBX6w8wPJIGv4fcZWROVYfGN/yH
Bvq1G202EMS7jiiUv/2tEutIyYJ8yGLg+bEe7Gc2EWpLw7uS0CsfsL2h68gz5nnP2miov//1h/vr
NUT1zvrSRZN5LuE/fLhQVnGiZGZ4l1NhW3tipgQYJbNZHiZIU/VnT+jzZ/fhs0X+wK3Popyb8+Nn
6wH8DUlk9+8G68xxL2pcxRFc4rRMStMevXcwqr5IChRqwLRBcrbilC7d2MIpZl646zNhENAgUdN8
Uir+5oM4t2u0j8zUwl+KfgkIwC+6wGPbKJdkJRv34LtZfqh95Sd/+zOnXRIeZ6Hzm05VKCMr1mr1
71iDVGa8MlTAVF3CJtJ7pvQF0sO//4KU4EwUkBj8eknZlgZQBAjkDviLlUVEupN8EfrrfIH8JXz6
6xf79XYlJZplQ8A6lYnNx+mJk5rrWbHu3TWOUAewU2FcUFcdGz3ZxzXzzE++uF9PJl6PFSatIVt4
lht/vl2tlmCTYm68O9IdjRhQmHW0hFn+yHurA8s3hbHMu+Z/8CZZpVJl8uj8jdEEeyK7WuCUutLW
fJOtTfVd2kb3RN65cRO0i+99soj/3dtE1MiQmXEC45QPp9Kk567ia3TvmvxMmONeMarrBZzXGjMj
lf6ta+aOGZXGBM7/73+jNCpoeRhyO+yu//wJt7IdKqvo3TsrQx8Mf0wX69FCD13szH7Zrrq819Xf
rYRYFnh0bQz6aN78j6EwNtg014HLdleT1prMpJTuOb6Wm24r7P/BBcSr8OBGJQcS9cMRWBPCsNXS
de/coCgOsKhZfksDsaByrHZntJpNLPTZ/V9/qO6vJyHDRYpYhxvz16j62jt7aFzp3knTLR4gLq8E
axGFnifgeD5LKP7dPUk7RuGFQQaBz4dxVAt3YZ28yr1T5IDtfUKA9tviLi/91KYxbMvP3hxf1C9v
jzd2PuBZwrAg+dj/4a3cmEhO7h0W7NoD4KjHVwaFkyBliiS2BCCPkV+6WTkON+NktMVdlvrVuqOw
c898LZOPPjD9Ru/LlsjdhLiOKn+xSsQhx6YaguyuGCsTi2uZlWrvITpWUVf0YR+50mTLKjKdovwu
YcZvR2NSYgIuB/w4gkkNbTII8rCmKBu5lQopvfKmKFhFJyRRBW5Cl9SKw+ormb9Wm5BOpAR66zwe
QWGQQ5GmgQwO2UoAQwPoXiFOIC7OWcSd8JfZ3dlb68h9AxHA/dFam9EuqL+DtDoptoFi740E8v3w
h3p+tDNv8Igr8lVuv7A2w3O/cwJaw+/NAAA5SNLc8bcN8iXadWTjLVsR1Fa6IIO41kxNSo2yJSKh
JHVurckwlRVbDUEij6YEXNue3brePdOOeo6U2bf9gWecTctfnoU8JEA8An0f8eMoBPWmattbfLDW
fjS86coLRvXGo3JNRCG3yCo2jrva1n9I6YZfWo1eIIL72sMYI2KbB8o0TeKpmEwwAIg5hgdJQsHP
Xi6uiPVAds59tjQBviwvbcWxrGSlIkzTnd6TiLkaR+lW5y7LO22qbYrXhppneTFntU3PKOSbr+Qo
TCF5UD5+956oECdicG1l3Kz9mMdAQJd9WUrrK8zWwo2lUzRFBETXKCKgK+7A/Lewr5FIWsV901gI
TgvhfxFNuBxnT0tqWqH7novUTofdtDnFXdkymiGINoPxAHR9PvZolgOCh4zlKGfij64l0LOFDM2O
NV8je7VGhD/11lltXFK4uA25CytteQUHsu2wRGRq7pKQFw74tVencVM37aln2VbcDv6w2bfKKbgv
rczPrwqLxAEQxFtaRsCtCRH2x+5Sw6B4VBZpH8cuxez8Y0bSW3x3VD9PF6IL3SbREgZ3ZGYshy9H
labuBetujFaGP7vxMpZb/ehzERNo4pTb2kYLfOf+aiWkCxpP18CSAs2pqqtJuV06R5Av5+LYURSm
e92UlozaDAR4MhTdNF6V6HP47kT5uNDavYSVk9lE0Gx1z8MYJmcFrlvHBaSLAUtCK3Ui83Yhw0dB
XCAnwVUwAvMeF8NZYOfEBbnRDXtpmXq7oMvTB3DTVazh8GRRvVn3nOMKz3VWKSsSc9m8j5smxGla
lnlLSi9Ib/zVqkGlzM0YZWYwY/gHGLREE/QpEnuybksjwIP5CwmY3SOm86a4YnW1DXugptjK4diq
bbdkc2kd0sFr1rtFMueKZTbM3R3yKZ7B3uBfsS532jgQJWfL0pXpgy6Z85PVEWJVT/teEN1lr+ll
PViyTTzpWYcmz9V4INgiNJLKgZ0dV0VqvjiTM7R7/oq13RthmqaJ4NAbYm+Y9OX5vESTPfTNVY2f
AVLBzL/35Zx5pzlUbhlVZDvs53me7kYzLNpLMh4NUq/Fpkpqg75Vx9AtLvEhLqe0KXSaeOuafa2n
Bjy5P4dBd9cqfvLjMGTywV/G/mc/kil0Rx/UpDs1moiW7X7T9Q6KkIOMX3pb/2XT2cy1n4lsvLcI
YwVCAfeg2eEaa8fYr5QnjuHI1uNnWDc9OBFvIarbJM6Nwt7fDJJlO091T4sWbKkiOaUzIM08s2a8
NBAnRIScJdcH0yMumUwhmgQzLhheoo5maYunGMt5EBwFiOs6Ke1lWsWBoNdt+ZGixWjipuyKGvyB
VnqvCVkOCKi2UrHDA9D++OuH+a/P1/OmhwwyhFRIiD+2Na2p2Q7ozLkLetFfyRAvI6jI1txnro2l
aenaT8ojlJAfHrAU8rgtUC0S24h/8ePuFVNQk4H5K78Qb9AnQ711d/2WLX0sNiNNT6ny/vBplq57
xPTmadZL/S03JyJF3Crrb1ridnf8zfIJ70FLjshSBPu8Co3hwRbMZ9bAyg95SffCIzTlhM9t9Uao
rHjMswC5ZO00141oGR6TjhR+HQq2iYiHrB9o1/orrVaHkMEpVbE7Fx0kVxJnwH3albczUmt7AV7o
Haz0HHyT1VW/G6d+vLDI1sIDuNARsk7Y/ggnw9tN3SR47pZz+FVb+MmhMMHuOs0udkkkY7N923fl
9sXY1PzkTLkdMM/XmXFsHCaqiacs/eT3MtzicWDVE6+Aq2iA2HtyiU7WcKwWGxZUNaTF44IQc+d3
sr7CVSvDLM6lGCIClUyoPf1coK8XdkAeezZYO8/E6gfAwRNl4ki/vjBGCtNlXM0+6RGefKsMszcO
qP43eZgNMP5R65jbduoIU7oIF8bYuB6xWESCMN+bGhN/fU5WGuyo0AFSR6FM50r6nWNFePq+Z8oI
Byx1SFiOQKyoSKS1nEbTLzCZ2aIECV6T10GF7h58ua63c97KL1ko5RekHOYVT9Hykp7bbSKG0vS1
i8MhEG8EdiNvz/0ncCg/w8wYrfMk2L3siITYz8yCwlgAENx1Q+GRnhKEN/0W2sTai354RCDiR5je
pi898KMTJYsU1wD926/G5nZ3I63EvdV6Y1K1besTt9coB8PC6saN2ubsGtYxDKSeLzYODNXNe0jZ
5jfkitj1GbLcz0trHegPsmhL5/CsTVReAqTFunetvD94ehtPNfEu8KFq+CdRSMbFFC+eDH5UevwG
vt58MvT4VOWbup4c9ncmT8MfVj6aHEGlPNSpJ/bgS/L73FXwiPRk6KvFresmFrrutohdc/raT+eQ
IDNo8d7xakZiLHnrxFBA2uusH9N3HItBAqdcX696WQnSVOq2NofvntbZcbDTNIwaiC5rRIG+iAtQ
nUM0EXPDdYUuZDguPqC0kLKW0UbthnvTIFOUhLswUp42IDhn1nh0QAs+TzSdJ+FNoGjttZ1OBITA
CUlxFSa0jtzIIuuDZOshlsX96PGMTg3xXLIYgEnY4vhwrKxOFsJ/QJDDGAVHVeQP4zx2d2JY5lNn
Zm4CiUnXMdy2zbqe3E4eVLh43Cmtui2G0o9qc70dq1lcME2AYt0ORRblGLn2lt3IveeSebjkXbtL
rU6Twx7WB6RM2zWs3ZVXJRPMrzunIZfFsZ4MJB0RNpQzFWIgDcqGGviUeupaWFawb8KufWuAB5lU
My5PUY1/GGZbkLWnGetovjOgpV1ovhQjZnLo7gnOGm90QKItHNxweICfsP0wm9F+WRsnjfp8lump
JCbo5JYgzON0K5/Gqr4kiq58sdtanAKiDr+4XXtjWAOhl/aS5x6+1sZ9DUvbubJ8rAWa7BEmViIL
3jn707dsWO3LHqfEZelTb24EEiH/Yup2gMnuPhRb0Dx6dTF9LVN9s5iBvhJaV5eeytdHVOAFXF5n
RNEheptLBYfH0zS3hkhEB2S/XNazmAwV45XtaA0sk455PxZUUqLT1Q5MWnC31h6YR2d2v2UDAQXx
2qqNgKkOLB5RGVQ1ysyN5zwdVx8Uho2iWBjjK97wcEfyHC6bcXRZgKZuFcvOGg/z6MzBHp92oUmW
Ey7frd7ep7T19+Q/DldN2BhjhBe0Fbu+sEp9WaWrT45Xte0L1/DvncF1qcqDQe2VWNZ7Lw+MuNn4
0SY1UV4tOdFvde2HSyKLuT15Bf8pqs7rz6gSMnwcs+Vb1mKVAw6akYTdtB2wMRixwaklruCWemIY
r5zVJkLecMIXbRECEXEPAZvuZ1k+lhA/n3w7I87MU1tw7WdD8EPVqXE0subFILGiS7wiJbONgCLj
ZuGL5UdpjAtQjeOUy5d2pBUz6hP5rnmJNjLOnU0UGqojWS2r+n/DXuxzcs2O3AX9m+HMy/3/ATBm
rT3ZsTFYy7W3eJUiRtoB6ch636TDIjOVoPOmj0eEsFiUsanZe7lk/w4wY44ZyL8wCpF3idOQIvDI
iNcQuxkBeL+ncePg/TfBGd0e4T3bN3+tBUfjJv9NcMbOdjVRNbNRT93lSjiaCRzs96BGFIYrtLLS
qKz/DqPRRe5U7QHVFcNFOBO8QT1hUKHemHbdDt8YV/Tkc7pTMLTXTeiOQ71rS8zTkYR75UR9Wg1j
bM1pWdyQQu3Pdjyrril/MG/x4Jp17lzzbPSsXslo7YlYx+Mn/Pk0zk0zXchWrv2O8giHc8RYXdYx
zoI+jVtaQxa/FENS4PA0vfERUGnuR0bfFV9yxarnW41WvmDtKNqBhs0WJANa9kRnjInLTWCP1nZk
IjZaj/1E8sG+Kf3FfPZHLZqjrYUg4pNbbBwiBn2+kUwhQegxsUemPqxNGRjMvTaRXvNAVP1zIKqU
7l06/SNRWuHt0vamuuYQ19Z9V6ClIiJH0lImaK7s/Bq8LJOKFdz+CPItq+HtVMQIeGQphszrYlu7
W3ihuCghOFejI3YWQ4LmSJ7zshyccjTzZzNEG8a8ZyyQXgxhDdthC0uyrjC/dm/hBjwTGyDdmL62
/HHsL12bNOPnJezFELugTAkczWcetgSLusTFktsU7mhggYfzcPP9p7Uii5jD1xpdEgcYmUTuXKo1
T8ox94cy0c5oCGJSR4dFCKXM1iWTlxflpb0Si5SIoXHaM5Vcbjd22XXGD+ETsHI5jIEpb+Cgeerb
pLQOrkqHgL19mZ4917VNCMIOwNqCtzLo9PBmpiOp0OzxM/dLL4XrJyFBKP2JwD53vCKGtCdAlisw
e4RJOHrfK1cP+VUejsFwqSrtNVFNBpt+d+XWZRcoyut2vyhjc167obSfmQL5Rdz0ZgVeFQCHd5AD
zLR7cgmL5YrBkO2cAuioBIJAFDSiyQvatok0iEFeOAwGBzAJaY/PeOsIrBVhJp0LJ+S7Y/2NgsT6
Fmg9vmCNbWRczvy0ibJyHtYRT9fCiZee3OQviPzsngDBYN2+1VlWEwtK+oX/lgbVtjzXQzo8+Zmh
NGofQv3yXeCldXVT1BKLRjTIrSWlLjQc9VqEpvLeNP7o6iJF2qpOaW6H+WHCRU2wcwnqzUn8sCIl
3uWzG/Y2tg3ruVOqyocIbqZiae4ONDKknyLMKHdI7vU7hsgGf5cZlF74Zs2EZX5RqzvOPWmHnUYW
WGTedCxlDlAiErwXO+n9NshPBdFW6iA3O89eyeyUTjJWVrYlBum+xowraPCN7x4OSO+caTTTszi0
6O9tS8RlpMnKcI6YL9T0SMFdrkdQJfX8U0jZF4eaqs/mAvQqKlAJEGZ8EBpB32lLuX2vN9Nvf8qN
DCA70rInZj6ummbgtArJjkZCPY08ZTaCZgz6FsCoB6vHvhIZ0KQHd88YaiteGAsV4cXQAwVNWtNQ
26uHQL58b5zRzY5l00429EnAGA+jsFbrW9pBZSXTdir/EcDKBG8/YI5+5sDnCBCrUzHSKVbZnEgm
LwOwl1StFoOjXnwnEcrMj5kxEzk4K4C3EYqOoL8tlSjeWFxwZXJMpgyb3HWifF76TQmYu4aV7XW+
bOC4ZxXoS4Gxy3rdan/2E4cEhvqL0ZDMzXFvBAAxWV42e9ODCHha4CsWh8zuWjSdkzYngPnZ5O51
mgUMKlu7F8WpoD++ClqgihfjvIC/pAaFqBpx98+8yTPhnbatBCN2lU4Cr1nUz+7c35Lh4KmLdmXx
TjZGEIyUH9vKq9qwkZyTvQat8SVUxWScjIYm4pnF4TQdEXvoMcmDdvopgJtv5DFyVu82mLlNbIcd
+B92R06nn5RPCON1wYFmJLbXePKgM48p3Nk3gv1yrjsZTWavxxhAeF8e1h40YhF1xjrRAclp9E6i
cXNx7IIqaGjupKF3ywzd5Vb1OlwOJYF20zf2uat3s6TM3q5Tsbl+jGNvJAnStguRuGuXq1MNQFPF
Xriuj/PUVs5+4EQg07tmr7YL1kCmO6syHLKhkQqat0JotSVD6GfWFYbFEqBoUAx9+M6NDquSs2ia
biDUz/a+LYB0HJspz943ZmperPJsmK4s8qSWaLVxuT25/uRDjFzYmmSwsXOmKebUOxSvK+v/txZo
jfWMrtqh1VFkNBxKv6OKH1ozz49VsUKuaWY3tY/mJgc/Id9TOx5dMYcUDxPV9F+U8mhbYrql8+99
kCpuR6O5Q+LZC2K+07SJuXqtMZmxTntHZsJ2fl+ydzPoocToHIwMdDXlgL8yQSuyAN+FYCdnCQaP
wLkj0S3DdO31w7PvscRYN2e8KwDjk63XEwY+n0qANtOjKLLyDpq2m9/Doae3ihos3elXrwEfemCR
ka20sUzSDmZjDvNGUkNXMnssii48AA8Zpn3TrQXYmLBMwxtkUSkxUZMmLxbgWF4lI06YZYmMyj6P
cszKQXw9+JziSTHBiPmjI3xorO4Zj4X9K0X36jW7yXA1N9KFxXg582NNEHJdPLSVn7tc+drikf+f
y8X/z578hD0J2POsnvmv4ZNvqura//X4E1rvRLLTv7In//PP/hM+KYBP0iWcFQwW9IOzRvqf8EkH
Bsk/aZPh//YQOmKBYROIn8EL/y9tEt3e36BLfhT2IpJDC86r4xFn5Iql+s87aWBXUApy036bSgva
+DCV23hjynDOEtjxYdfAYwKscxXKIf2aT+4wHhwwff0B1jPuu3wlPuKTDb33jxf9F3XLmYrIexV+
iKf8TMg77/D/Rcqdjj1zcFadL+XgQpq1y6Tgfxc0YZXVkbjstE/eTMQ9ab/DxaRqToKsobncA9Cx
vufjkr6g3/eOFla6B6SU07irmn4ajqlKrb22yvl+G3zzuRdTEE0k38gLtYa5x9A0nZ8YA6ieHDzS
OXeZYH7IrDUbnVhTolwXxNn7sRUa/Rb7g+0sP+m3w12ZjmonSCUD02kYx4lEhPCxKXKS9OTgDu91
6tM1VKxFRl4wBKZMOinA+l6bTNP60irvcFt4OAzkVKevhCvO2VE4BVWpd6bIZ7DGw1uK4sC8LnKt
5UVhr9Nl2muk7mMRltORPXSQxUsOrf8qc5hd7pps9k4DAxAEQLT7UeDWaR5LCtYdqOYiGYk92m/D
ouTN5LrzHPntMj7WVp4fgh4JxUXajulyy3onTDiUi3u4rYwYfWueBXVVMRREuhf50V60x8nfsgSL
2g1ZJrs+v330evK1E3Qr4noKzrhvwyny2BV8jsSVieo9VA4e5W5e+5uanLAg4kk9iohpvfOydMFw
LWd6hXjjfMsYt0uxb8deXJEM0oKMtRx1s/lrTs0gw7qIzLwMCAiwm3SMpR71zTwO7FJ8KgM2tEOd
xSRWlSu593nK6Fo0w6WzBEWfBDa76F5AjY5TZVY7wuMl8C+jCi8rEaKF2QB9VDy9jSD/0SJC4BHr
L/kzPC743EvnpAZGa7R78Jpnzul81Oc4a+0kUqL1e1pp6KKpYuRLXALcvdE5X8vztNrn9VzH/lVU
ovcjRsVMmbQReOMxN4biNqxgW5+lv/NTO8Ce3YWDYkSIALL7XpJ08YojjR1hvhgvDRu/q2B1Uq53
e3TBX0uWBzGQqry5NIRDSxOYI8M0JeUs94ZLphWC+aEGSZJq432Qo6SWk4O0Ipdu4oXVmvc1gEW1
RSG0CmaNvqquRdFZZKmNo/VeiC2jNCYO/DAVpqoSYc8dwufQPuotXJhDOe0Vv+PpF7qz/dQ2XS2Y
xqvmj8736/dqDNQSbawRSOKoMta2FaPdWHeG+cdiVO2FF3B50DQxD0lBtGH5yXz2MQNgaMse0yu/
bP2dmqfh3ghU8eZIeyWasWgXSNajpM9MneW74U5jtsshM7HmYtd9yfrciidpda/MWzARwwcYI4J7
gi9ognATGXm27Sp3TrmvU3k1wNS8TAvDvQhZKz8Eo2nQjzM12MPE7u+xvZxhQr0RXCA+M1+omy4H
S3Z2bOfDMEcZdeX10CIpikM4o5EO8jxuA+k3sWfwbe1Gnuf0jSSrvwwGs5N8GZr2UE+2PP9au0zr
CNpJcmk1zo6NMj2jJEmEbeST69JGVxpEUZRRKFTR5NtBSbiqc59WRv0VSQb5otn4KunwYrvwzCfp
mvVTMaH2XqgPjx7qith3maomXV7DY8w2BDsRAguLRJpworWGjB/13uw3QBonkcZbb5vvWW9M5TUl
eO3ForLGWFdGlQxe6xPtxMEx7TAKFP1JM7cO7kI1GzvH1uYlDk7jHqWe2+/aoEILOmTL+ecl3mIr
iDBi0WrGZeM7V+toeojEhZO9VTWS3ahjJRcLKHpgNsPGZFfkrQ02IvIK3kJtNnNEitl8VNzFN3nn
+vVhnrPylf6XitubG2Qx7FD3egi9PQz89bVJ3eESMofzUyiNjkOx1kFGzc7MmwfnZ0/qwHEtDHWo
19JPsJKodFcY4fzeOwMzKK/On7tUzAP5zVVtxWlDXXiqaiPrYsRfLAw6o7ZBzwOE5yk52uWdxCD0
7s15cNmvAqlxWbyWjcHGyWE5FTf0vVYCd7H5Ia15ipm0Vk9rk4Eh9NC635sEF8YBghRYjGGZReMU
5td26OavgWUYLxzaurwkAaweY1e7LjcONt1LOkjz+zkKlADNMZvzPWnzdqRS73u9kUKDyyW4sbzN
upiMQr3J1mpNKO3ESvN2hmXPB5U3jGdIwttBVTsrSesx83eTn/XNbnXznKs03JAfrJrni8UU/GkY
zklDvmEzo5OmR7R1B8f/FqTI9C5tX6K+INjmCy+aVhEEeKd9dlaCItxp9bGQmJa+tSxD8zCgWLYZ
ZNt9uAfRPh9bPK2xpbXYTaGs/B271jA81Cztr3RPXgKXBdvIYGzRQzUVLdtsb/k7Weh63yxzf1b6
qHmNMVkW7AIrrs14wSdwazFHCngHVPJPMiBQeSdzr2d/mNtAVFnxWBeQw4YHcBD5jV19C0OwW5ZX
VkuSWYN9kVNdsYHKwplSfe6GDEE+CdxRB//2MmefuJvqebtbtyK98hjLlRwDat12ORkLuzVnnOcz
bHyyfFhyu4FG+qZcRJu4YqxOGyjPLIbSqH52uIAUa3gvvUZU0NyPo2TKtjHsJGnaZWRCZi9VW4Gp
GXlCVn1F143hAaxS8xVfEn2/25QNhlY/HxKePfVlibz4gqSZ/jJ0yERhA4Sia1vt4BaC3rBFw9Sd
n8+OscYFrWBkbVZwZXFs3ip36CC22qN93W3T8iBCzK8EaRrLzZxXkk1tpbbb1Rqrox2kBszGUZcP
tERPvmjavWkugtHtOB25SMkz9nTW+LHDAv2Y+r1VRQ13Pk9PX533w2G9a2pffhf2tDoHnufea273
xfq2dP3gxDX58NgKZ7fuj8aYjc8NiQp+tOL8RWKmpAcivexdEwzp4p+2sPff7I19m+U13Vc9BdUb
uzRXHopyXmZ+UJGXmPnCjNu0uTFds5Q7iCRduEPFiIwJDIe87NJBZadaT5ibUCnUcbO4eXpB2BtV
VMHe5npIebmkaM1piRDze/dzyNYVrxxCr52pQcSc8qprUsa6s+8dFwQlDIPEZl4SlY6jrysy47FY
5+pLsLKcLyF+X81hY9l7NknmkkyZMRElqOCjR+5qzO9m1uTXwh+sZs8JVr34CPzXCNMgtFfmoEOd
mK2HAE6R8utlrbpMPbfh09umkSCEc1aHTXloJkvqpiPmc2Indn0/99cMysZLBcKUbJcsXO6qoc9v
yq6x7rZgtKmmVU5JmwVvNZbqYV83s/WIxtC7JJoNrqylJ+RcG4oytte1fesWFmGx/pkDFOUkg8io
RrMHS6VerQdvk8u+HvRUnbop24/zlp02snJ/cNszoccd71dH1H0DT4TZHfl7MZm9eIZlHqossOvE
XzQxsswXeGZIVjb7nkc0lBhVts4+QLfinfysRDpmwrU/pjO76IeiIdmNudG8L0M19Oa3GveWsp9z
w1/KXekESwji0eQ2s+WYP7mrwxVSLhg+Y9/2tjleZxRmKC7z7UC+pKV32yhsglFKIAmRJurMP1lT
8Jo6rfjK3YWKyye7IJZkZLE4Lsys3y9LUXz1VNodmuw/2DuP5bixbF2/yn0BVAAbPuLGHSAtM5Mm
mSRV1AQhShQ8sGE23NOfD5SqWlR1SKcnd9STMhKZCbPd+tdvYhqxtXQvoTcaO3gKwgsQWDpbsEN5
0vDCOQKJWi8E2pCI5kiE0UjPUCafhsqdMfrWscPmGjCGF4LCJOubYtXHM+WNJxpDv17a9hLP4bjK
tl2hEhnglMg/G1NPx21ddPm4hSws6hfRQT1f6QRzZ69ounRn5+EPLA+wMxxr72DDWF2hyR6LZq9l
hZokLmpmAe1UltSJxqTnN4PS0wu6+WQEIkQCih1mPwkaaHH3hfJgLO8aaWCuUCZG+NkwgJ53GP97
9ovZqrraiBEX4qARoywfkFhV0d5I6qEkh42oAN6XNlc0aSx6xdKBQ7ixjUw+Y/Snn7tqSLwv/kgo
6SPO51S1oVt45oMbOVr+BWVy7j7CV1XhUTVFFEIk+J4mFxL/MzfqIjKdoz0piA4bt7WGJSvSQwGJ
w7l5ny2nT7FupHtK2vQZfGr+O1ruDUH4L9jyG7BF6BR8vwJbrj+VoCwvGJL/K+Hj+y99R1k874/F
qsqmNsM+4T3KogsAGCHMhW22wA5Q0v4CXd4iPnBWR5kAb8w3wWb+FfGBlR8fJJwFtHHt/wSDQW35
EwcNOjlnON/AhJDajwiM93iHOVgJZDLToabBhfT6e0pXn2M7AsNsHo2z7UI/W0EWiQiKitiW8c3A
m+QMeNpnu94Rs7nR6K23ezLENf+6oI90MVMCn1eSxpoL6I2QnRCuFJdF9WfX2kP2LFFHWfHSXNLd
LCAeRxE3NcxodtfQpDyy7IOoFmQARiyXOJ7ifldhwovOpn3xRF5PcIa1ThLh5DRGyApYYjdfftJo
f8HUTjrO0MOmbgb9JAVpfvRkDXOYbjGNrn2xxNul+l2W0laFYzhHRpXs7IxE683s65qXnYZUQT09
kUXfFTe0cVv/1Gqx5x/7uZrVV7fI/W4r88iTzxDEXdAoT4ezREerCyubRm7b692xkOThHien1jg7
TNbs7HPWd/upIBdb/+iRZq2bAdhoYtrHTItMcZ8BiOFJjnZsfix6TQznhChE79YMNbu8SRw25F1o
oQfdmRGqik/szaq/jg0jzc6mroXuNtNS+IqYjBBQA+9ETHnBnh92ENQpogSNbGqatcyJgQhoNJf1
XY47ntsHw9g24ZZEEk+slejb+YqOR5Zu3QZe/q736sI92Hbh94fa8jjcGQOs4PsxKZpXyPNpvJMR
lcvRov8yXiFgyIbrxlGUeQGcwyTd0dtVw87VolyeMtjO7drEVclfZ2mmSmqQtrJPjWlEE0dsq8+3
SceB/dSKqoqOE3k/8CBKhTpGgzX5Eku8bzdzYSIehjam7dKcj9kLeGDtOukFVEbUpal+gHgpcbdv
oUlxeznBUyjl2p3vVrq91nC0L1ZRKXqxh5Ztp2uHdfoTu1dZkf6ZwT465YNoI4z0eLsgFnKFH64e
fZ6wLSqTvVUpl6qaxngzy/WoQ4HXbhze/ZB+ka7TW0dFF29YtyFanxU4jU92OMHv2bNru5CDSU2q
5utSxLQweViivHe8alIrnrVyVvosm4Y2/WxQnSNAKM1NWIgi3vZDIWNsM0YLS/urIYdiVO9EP4eM
HVQNHX72Y0x8uJtbkRdIMaQMc9iD0CZDofeSGWn27ue2nrHZDiYnLXRGhEti9CrSw/ypB/DqylWU
TpzwWqFTgAZJ2dlfdTHTsVjFepJ9HeyU3NFVncziPrTooeYrb/QcqF596UITKNLwlkquagtumeZt
Cj2hNa4ASM0DbWKaxKuxwjLXB9NgpNLjiS5Z0cmXqcz6ol55SEnvdH+i0blqdSN6Jkpknjn0soTe
9Gr0x24lCOVKgQdyA+b6yIGOJqg6T3XT0XwOWm/w24LICcNUSdLC5+413tZ/t8b/TQaW8FE//mpr
vHxqs0/d5/h1+FS+2x6//eJfTQjd+IP9jT46LQZ9EYr9qwmxbL3v9kMDNS+yQ4/QJL76/X4IaQTK
kwPo5f0nG+I/KNnIo5HQYrGBRg8bip96Eokx67lvjM4dGxjLaJSkFmdv2O8XP/FSM/jhidx9ayv8
GLBluIsw7Yd2g0f8EubRQiAfM3gIb96qP7QbcJOnZRn50U2YRbj2PbBQm+kDWxXjGvlEPHWrdhnw
KdOGwd8tEwFhyLdJMVl387fJggRYviRhFF/Q4YRMpw5K9sX9Ns26Zcpl36Yf3Nn6Mf42Lf1lihaD
CWC+8pepG5LVzjRulik9fpveyTLV8eqSTPv0bQnIZgi4hAgva0MTtYB5rAcsGvW3BWR+W02gRyaz
HyTLMqN9W3KQ8bP++DUe9QXBvW8rE93zeuu/rViKUMakCKLM6VnMsBSkwZKuOwmXS7uZ5WwVqHGc
TFqlvUfMWTk9K8RQqRBlhz3QClrNleEoeWigjRtrfGcre1UVZnWFfVWVEf+OhcbagW8YnYgEnKy9
0EZ0YqqEKbsWfugBIplD9xjpUegF1CCeuenacWlM5RODIO10dE+WTlguPlR0bhewb7zv5hgmQEl+
5AR3k69Tg9XHe7/MOC7RSadMt5GxNDi0jHyK0Wp69Zhm1A5mYiu5Vlx+CNSDtIgTErhBfDD1MAFM
xXhARxvm+9PnuUh6aPg6wIhlpKmzsfkwbZXGVCXbgfTgZDtOunHTZKVytxU7QAiRcCaKMhqN1N7r
ie+eseznGseRSQZ/PJTPVTrBIRQl8vnA1iX/9Jij5Ksb0pAHjk3d4yyqPgUjp3FDh4Zo3hvONbI8
2sY03nRTyfnFIq9z4uEnQwptW5fPlnK5USfrka4MvNtH6coZBzREKcvja9EbSHKo9zNR0Mlr5o3O
J2RUHp0mzsLyUdaaKpHuhDL+nBFV+1TUYZscQTfL9oQ5OScu6VRnD/4V+Zew72ATYf0nAjfqDCh2
UxveGXLk7cWAJI9kARPW2uCGW2/nTiPvMx0KLQ9AEbtHlP+MEt6OPT9QYnXaJZ5wlLuKbc4KkIqo
13eVhGYVZHbthx8SpyLTE6ZhbHzxuzFPtgCgtvOxhX5IbmU+MsT0ZRBl7OvulbDj4TP6QhLdWikL
64M2joCSqeQk8ZnJnU9foNl2ZqHZEGPCznI3egsjYNyYk4pbFA+4ovfKBUuVU0QunSdHrmz+tgr9
t7r7XXVnsuH8sGD/I8fx5nX4P0GjAAiTz9m7Pezbb37fwxzzD9fBmIl4KSI1LaTOf+9hDiGOWKGb
aIoENRtJFX9vaUQ16ogrWEZ0iE/YKVCZ/bWlWX8QPwLZ/6+/Mf6TLe296nzxr6VOdGlmQ9hEefuz
FVoIh9dNDa/d111u3yLwKv+08NQ01prVhgcIWePj6GoVNe7fpIN/s7W9l1Mt34q0CQYr34hL0j9c
tzkFNj1gFUoXJb6aRTt8xHqF+ZLp8aMowvg/0rfDiMKYzKZl71rUxOTq/SStx2a7NnI87ve53bHY
EkWc7eF/pqcpqfVD2OXqN3Kxn58qVT4FOM6OfCPHlzfPph82bpGkoSqakObBKHFpVXl7MRZ1m5Xx
hwHZ2jhBG7XY/WdPFQde4AJ34QbrjsF/vK/WZZrD37URJQ364K1nLSlWpeqTnT/k3kNbQ1z79fdx
AHt3QMH6EecBG9s17pbDCoe0n74RGv7MAEv3YySd5zwf5RPCPnnbqdCm4PcyTueO3h8i1ab3JgDU
pk9zucWfZdpburqzqJTXYwXViA5VCgUtl2JVN4l1YGc3HjRvyOygD+GZrWMjtg55Rso5OkLzrsWA
R1sLqAVrrB5p3NNK9U+xmCsoXvxhmgmNeofEyts2Mm3Q/iZ/yuPaPkYtf1baJVF5ttL0a5scgo3p
FeJBrzW0Clbs75JC+MTdy0o8IBiAr6pr8Q0Nj+mupH18qPyQVG20TvYRoxfjwcZa/FloU7VeBJy3
DZvZ1iGaEiAwMdwzz1BgnAN63fS8ebPVzCtKDpjTPddcJdV4F9ptsptRjH6kg2cd9Nk1D73PzRhp
BBZvYMRKQvvALRllxxCidxReh0ZnbWmtWVeuMyS7NPYrPSg8NLP0j3L6IuMUVZeZ4BgsqDET/jpH
kP5WaSiGbel23hqKWwnlQZ+cZjWPmb+z+pRbrBi/u9Lq8ic4xcZ0xO5DfMiTxKgedfgA8ybzXK4B
40nZXOd9zcEBBVN1YVfmL6dk4HU5TS+fBzfUEb2EnTdv+jFHs9omw3AuJgZWMNe5d4bH5oFNRCC7
CMN55vlYTBsIbPXDMo/PCMhksaJN4Tw0IClEoPpx9+hydg38oTOOPZX+tgU+QeGaJt2GWG8DSLRC
hh5Ims9wxAcbwrbZJucwc52vNnGmDwNy31uoMtU9cHII8TNOLrRwhBFwj7RFkxrXo2KYrRspUztA
hQAljrSPeqO5ZfFklSm0Em0k3S2gVm77nddW+SsMceSEHGCbFWgB3RToIoV+TEhlLFdSh7i9MxIi
w3QRIWgj/Kj5M0XPceeWoiLFDU9XrjPvViFi7A6T19F7wvokNg7GkCJJCQmxXI9KgesMvfalRWS+
GZTvPAmhF1gsVOUFc6WQQe8TEkiazQxrr7frBJknXdTABE77ohu99afeWOPGl4l3FkTFXyKbN8+A
EaswTeVt6LJ4gCkbD+OcJ9EWAgz4tVdDZ98OEf7TMPY0f9/6OY+mqhh9XlGMd/VAjkPgyIbaRLO4
rTYZmctsjajitdQ/4coT34SqkreUEWgtaRqVjGyo/PsOI8XDtNA0cpr+QCWpfW0gPNqAlfi3rHmc
Hn2vaL/ULmYCCHqyS2HnXxPOjycrH6uThXb442yTh7Yl6sg+QtKWZKC77pleHm1SPV4uo5AGUjcT
ElcQgbaMAcwsf6ewrY82gyuRb78tlyIpk5ucY/KdDzSwMzRWgTjhJwudiUumnL2XPa/Mtcac3O6J
IySCO5u5N2YTI71JgZKu+N36bJkp/Yuwse0jr5rZbNTeuRh1A+1SERmHIW8xAIiy5eqQu5lwpXLR
bFSihLkYbBcnDNcV7aDKDMo0krdY94Uf6ZyUFwpOotF1aXvsYjQd14adR3LVefG0aUzWlWhO4CU3
Op1zIC+8iFLf/9jaOLQFqTP7H5ssrS6O405qT8PKPmoe3okbY0Y4HIjRsW8KDKWv8gYVejjU+svc
Ns0H0UGi6kiQ6DfK7niLsLonY031ZH2gOebuw7rljq1e/+yT15MzN13vpGdF/cxqaZLvSHTmMfW6
ak2Mdpyy4ugtIvUQSewO3rkcl6puvLPcNsU9kTGRrvpySnYueXtyVYhFH9BqDKuNnZfhuCF2yt7b
mWBwelU248/Q9blFfTQxZkI1wI+KKnvKV741c2Fxo3it1tg9N1QIFw1K0S6z8oSx38bFjVlMEaoU
yLDFiDlJYKW4n0CZgWAd9612O2NT+5jTNkXAIxnTWc7djRiRU+Thq3EEDOevQFwJS87sosVVcTL6
4xxjNkkIS4M6E0X9kOBtRsEVGFOcnKRdJAdYJykk8eq2KXt5dIYKsLho8Jbro24z5YN/Nb0t66qN
5xX7ub+1tE6tqYarLyGORHszndUjmY391pNluk2mtl2P9QBVrqiozjBBCEgBaqEOkxaIzI02cx6l
e4FGjFac6x2KxNMuYpDqsbVVup+hkqNDnNOVkQwufrWosCFZdBAUCsdl+YKp9EWFxC6WseK+XP6a
E1V30PDr/qBFvbrqyX3YomiZt64fpqcib9yPKaZGm9mznfXCYqT9Z2OsD9dpXgHlkj1p4/qxlmYI
lDvYYfjRy9rsOcp6IyBPN90WRvFx1vX5HtML75BNwrlI0caHqjPSlTeYCKgbl86todp2h761WmV9
eJ1XsFCwknDbW70hsnqnYdlHm3sSxQcM9YvhGIYlUX2V6XfWNVASFER2c+ZkibQmWcksb8a1XxSJ
vgLMnCVmNb5+JWVeHnzyH/aOHzMCGg8PIcaa5W7x3Ihvc5oGdoDr5rCu8DNTGxGN6tWvBduBgyb8
MKfGeKJP6629UbNu3waT38tS442n8BKTRogNXnLZGh5GtvbUkBFTg04qKPNa5xxLKuPJ7e3qhKtC
cuzwQkEwEdn6VY3RRLbVefXJQTWyOUZNbu1meI53I8fuEj6CTxQr7BFsXSqo96eQYK0Du71/hUA+
fczYg6IgGyBSabUJnzMv42gf2kl8nWXzla133qpxYovuZFTG10aoTVf4qqgdbsfW0ez56ymZIhl0
Wm+fpny2Tyqu4eNk3YD2W8EzQwTrhEEzNP31aOgzQKz1GfNiDsmht0em8zTQONh6o5uukQvJI1ZY
9TaO56/95Hwo4nG6s0yYC8fWzlHL026wOHHG7gYdfMpEHNhIMZgiGxS2gRd7jE9cMaxjN8S4/oKf
0D/FnCfc5LGy2o2NqBHophw1L9kNCZgE2cZzc9sDibSbUMeNxEWROEiOVRmLSL+Oov4utmWyykF2
ulU2jPV4UTDZdqjljJNNhbPqYboXG7ri46NnipFFKCz2Os4fNyNEsw+lNr1W6SBvvM6RWAhxEFCB
2xZQdtFOcOZI8y6GO6aTD8vZ6pDhkAOUoTL7E2KfiYjXxF77Y2VfYwjDACrMng/RCQoED1TYviBs
wZcky0/90Nv0l4Ys0Crf2xDXYT1HiPaSvjlwxIhOreHmxwg23EElLZhVbhJYGPH7n0DVnMPo+d3z
YMTipoLMirLQm9VzAQd6axpdesbuxGMvb3LzAHs0OzSVaW0Mh8RtFg7HfcUdIuYUFov+OgLUuMJe
5bWD6hlY9hw/ozvDlWBIhH8OK8gRm9rSxlejxoVznTsabAprGvxB8vbN2OFsWaBlDKwCnpRoYSSj
tuC6szA31q1Z30iaL9sqCrv7amIuzZMHm48jHeoLpu39stv2mDoV4ZepF3LlxTJ6yTvsII3ErV4r
XC62paaZJ1NnWgez6KA9zF4CHVcVD9KCKDaiXvnkOQ5t/VBPYHjo9UJHotkJH1qvLrWJQCodDfwa
krBBHQ8Z+Etp9goN/JAg5zLbKyvs3C3Q8aqblpHlzGSRj2EZ4r0DMLglr7fmzSQzjLfFRomkgnWb
LuGPplM/aE17wXoMdpEkSaiDmQhxUvRYg4ht2FDdgpiNq1AfXqdorAJ+Lz5Oyq+OGCvfOqX2OW2d
4jOqrnKluQYatlyZJyhj3aYBahtXo2Z6SAHTYh0NpbVO3NHiXG83W7OGERWESAjXXWIZJ3/GIAKh
zkdVFCHEJGWzkKPvKZSu05aasSNJGpn/6el19IKymudUkN63XxjYD2VcFrgjwhW80SJNrKI80s80
aSGAwp+40qPG2g0cr/Y2kq87AcdCE0p/daFV3DOosS4pGsM+h6EwD66TTxvdoCIbOkopX5bJTnq9
+GDBosCRyvSLGL7viNzRnHGHXs+A+fQ1SU39UONcDY904mjg6Yl11cdK3ppqlM99QiWnNWlUBqH+
ZhCSYsdQATY8JONE1amZSqzkUHlrouXkdip9jlctJmDbuaLWNPF7gzcVe+cUttiqUnV2qUw3Aal1
ivLSo9UfVHJjA49fTdn42yAVAKQfGghv9bmgeY86483+7mcr5dr0cs0w8nSfIuL5UA+j+NA3Hgem
3tVfJKXQ8i7TBBobxKKgaVXTBSbP76Y07eygY8+Dq9jSsm2mvLr/NXrw78AD4j4gJwrdMb9xH34U
UzTzmLZdlyX7Dh5zF8RF5GApQQpGEcBu/wrfrv1SjlTfJlvJRp9S62oUCGEVXKgtHFYjXg9I4G8g
fYP6Y6zwMa0g8ge+KPMnnFcQ3TrKPIgit65E6ZsHjI+tgxZF1iFmqJVBZxL2CVQy3g1eizl+KIqv
b4fNt+9ye37QmdOlNhp4q0mE2mkdeSPVQjpqPktpAj8hyKRjXr294yqHmjY6E5D6MLu/sfj8CTJb
oJYla4PcB3giwIlLr+gHSKnQOXRrnO73BPmNd6ToogiOKUXAWMilt7jJ36A775tPb2MHYIKim0wv
/GN/xnYcWk1eZDrJHtY1XxNO3rqoMXvnmMRSbHhRAVJTGNM6dkf3d0qbf45bXJ0F8CDacdCRZVz/
cLMayQ+qWva+t/dfRkZDJW7mt5Q01eIL8T3I7f8byL180edKTg2OVF37//7v9y9eMON3/7N5a56e
1Wsz3b9CS+j+UkgtP/m//cvvbKLf4NdkOC3RD3+jsv/Er1X5qVfdj8j199/5C7mm+WqQ+wOfaFF2
LWSivyVgQv8DdRSQqmEbONBYAKDfm7Ge+QceoUt8qY4/JAMIzPA7cm0bf/hwnWjj4A4OeQqA8q/7
/44Z8+h4ktFr9W8wZEwm340SkFXDJWaTBYQhwiry8whFUkvNFWUkOqSLVmg79N5kGEfSFkjF3swo
fttnCNiTetVr2yiOhuoHR99U5UCNAFejbyfnVtZNOp7BJjK33oY+zBcXdqzAW/Gqz9woy/ZDQedM
2+Omg8SYY1s2nnGk77WLiYnMeHZhJ7N6lFVLaZrHcdhdNQ6L+XkkkABJuZnMKcqIWNAsxCnDwZAS
N7gxgyJJqtywEKEFn81qkhTzEzXgLL5qZTEtpHZLdiYGXTBI6xcj85IxXneav9xKR8bEIlHCQjqF
tozSIA9iPTLUq9FAbWkD2JwJJkKjNAuO4b5N9OeVbkxpj5+URIhwXIwSCf7lrBJn9yVseWqkGhVA
Hm6kpriLuZn4JtctCveGXLVp3jm5MJt+G3Naqf706KgNCDkao65uMVIctEstoIXjRJP2ZXWbYV3U
bp3MsbLrppM2d1oSmJ4fMh1zuE84BBJKHUiFEfS1NtXFeJa2K6vbxMADs4L1hX9hHOgW9l31zkns
KbkjUjySX8jj4bpiUXd4SHZThxhXuZVZ7v1mpOgfmonnCCalF8cqq7kGKR24nwTgafUzbny8S6+o
CYEJjCpyfX5N43JjOwRrwMeOt1gzNlJMQOAkPYZ9mdZfRelY3KwcI9E422lybWj3GdDeZxrLXUeh
Tp03U26WhFCuqPlx9uPsNDAMtAKLpwvRFV6ExODtjxRJcu0z9AE+YiV6KqohSEZoKZcGvI6RU6YG
zxHYlKfiI+PnSIYJ8sRP23B8xnNYgzs3K4Tvy3uP/JlT8t4ApGKA5E3b8/O4BfDgv7+RyqOLNa6s
KV3+lcWmOcW3WC60DpE+/hxbxSaJJ+pDYA1uVd8sTeb2OWywTONYagsKZA4GnSHg5CYwv5DdeTzT
AZfG8YxvogFtTBvCRrtoTEnc060Ez8aXcu6d4sr2tCr+6JOyyiGvw1XVy+90BTzyLGoZce91ijlE
FdR1nc1PrZyYkEaLFcAzPmb8idkRnsllVI7TqS24v4ccHYMQS15ZHcQxjCSmtFMHePNCXpV214TP
JB5I4xhVbZL8aShEipuOPdM4drOJxLoePKd8aWJrsp7DBGulNY8uzzH5iPlQdqVKHYjucO2AdvNU
7mjnciod65RgKkRxrgmEsx0aPZYdwWuojjo84sJqmwG568XOam2OBzog3o4IiTq/KlMWmMBEhZWu
9R5AHnJX7T2R9GyswL96HS5zJ599w07tdT1OXYEMv8ctjDPQh0Rrqw/ehBJsNhp1W3ZeDkVLefij
hb2DnMOp+LZYM8MbbGCtT2r0EPznrv0xiuL6OiE3oAq8ylBYD+jhrM1nfOpqOi9HXMVSddL5RNYD
3EHb7k/fajzzVDboHptNrWKnuwlnTsXGuRMoaICcMsvUik3alb5Tb42UE5e9eFcJ1qFkTGvWq0L0
PMHg24u0l7X5NRP6VD4M8yJHX6eRisv9D3vXv9kN3qS3P3JlGPCY6cN6JebZ1ykN3x8Z+rDH6LW3
0stc4Fm1xycOygPVT8FamMCaz64n8ncQ4pe4UbBes5xCG4fHkDIA6WpAMg8a/DG1y4whYXQb2kCf
Kw2pTKHfaZnOapKAVaiNPZcTwSi/vvyfmUUG5+ClAwxlV5g+SUrvrz5BS4SDS5o/jj7EgnBfNL5l
9AhXhB2Ji8ibqfL/owPlklrGl/KdxCbReaaZ/P4rLWk7zdQ2yaNCx4o/54SzKg6s3din4dbOFqAG
siUOE0+/vlXI/O/3bQ+SgoUznw8MSuf5H5EruXDQOzlt92B5qZq2gFVZ8if9MeX0gYOxXfkcDxqR
GvbUzPRSPNzD0KHo7gAQUHNmRLbGFk+boaF7c6q9yR4eILGGiaKYppv47IiBX/HaHDOyeC6rGmA3
TMU600YDjzJncKuzKd3JvPFpGFKEaXau5RWqPfDZT4XqXIiRbs1yUdjuXNylcdyVZWAUWOoBHWjQ
8FecjlgBgZtN1pZRgFmeHEOTrDx4IKuNgySaBVp2McwSgEH3HiuTIv7qcLQFoijLcbZWETqnDPRP
j+bGOvQ6fkp0B1CNP2GGwYfQzymrp9Flhp9zLxEaFhMe9wfQz6KkFR5f8e1qiKXvF3unhtZBSUgP
bq5faXo3EGPjslTlvpz5/jWe3ETLr/FdlXYe6PMk3WyToYsyjnPPMr6lbPfVJioxlzzT3XAIGKxG
9Mf4YE4Y0Y1mFz6ryOz4rm9frOO8qw4iK7nPQpgzEKxAfaQObVLbPJ/RDUV6rRPiY0Bl7WC0BWGN
aR2q2cXp0rWR1a6KWEX2eWB+Q93RyDJc5ak5fImQ9XifYug62gVvt9qhdTra3aku+zC/tIWK9V1f
KyzbkAJm5A6IcpGekBWEc8iNnYxDjfE2+MoN1Jq+moK0KXOeZzS6amPkMd/GxjCWuwyulaLMpEmM
f1dtaBmSS4fLSFkgrXyl/Hh5pWEtwlNJ9EuJpEwrLSwJE+RjGM4qD9VqVxuMurT3R6KQca2k++HQ
wom/gv5P4xlVVd2q34W/L7P0x2VviTs2llQEohFhtv1cKeF10DOdnPqyWIU1+LhG3exPuxKaK81S
K2m97MjZuNblWip7xrtcK5AMzWju52XPzUI95MT76yluwk75+apsF8YFWnzfMSFD/LS2iGRK5t4Y
LnUZ0X+qiGGs5UY0moVpaDgxiHSNcNYYgHQw5VVK35/tG78l/w4T1UFD/P02GBIzlvWNBVJjn+Cg
valhOHSxCjeVh3B0W/VFHn/V+6apb5ZNJ3xO/TweOP6ak4sa0kydUV5jejDjD13WCoMuOjVENz7p
9WQ3L4Zepu0x5rRWPboyK6sr18BB8bm2h7a7QnbE/INnqZvT+teP6H11zerLLuV5Am2SZwuYN0u5
/0OFmw2KQ3Yxa/ejNi8vrFjo2GLfFMjF3BUdKLef19i8LP+CDWlynKRjnHJe+/V1vEWmvRtAOIaQ
4WHZLmx3NtCf9s3RqEtm7VBdCkAOZmfSxTIOef7c9p0G6aLxUfpnZoWqruRpSNwGWHslL9g1VqoG
4J/oVeVucdKnsWy2FaaaBg6anpVWDxiY0U3C29Mvedu/vvT3JBseIVnMlkkVSSATSM3PsUGeUkp3
ehndT5mcOR96sb5UVfWEHy7lXT4jN6Mpk8UUdn1lcZD89fdjbfJ+kLNXU8dSHOvUx3hDv3+FU5cm
0M3z6Ty/kQNN7A2oZOZ5Lo5DY1IfWpq3HJ+dimSGaxuCMO8ShwzOvb++EPefV0JUGkYKNuW4gCj8
0zucZNIZXq+F97lKwjF+GP1GFEeqN6oMMVvLgX5O5lkDskLSiCVxjC1tdzXNmExvYhjw9YtbKn4F
VXTPEPtWrH7/TVVHJRMKd1PObUHUNVP9gj6QYgW7L6TWq6kuaXO8lFZoYMRtR1M8P2GGQEf2WyGo
DEWp4BrJUs+p0elcOhVh4vablJXIdTYmTuZtFBSgcmwKgeBT+Unx9jzzsBUO4DYuspeR8o932SBZ
4u+tMue8hnhU8AP+QtR7JlPNqV9Qr2qUWrMTU50PtpUNyBiMgqKiyJxlTKCgmjzc3cu+MoJpWPDT
VVHOBUVgXE/Ud7Fn8mAUAmH+h9YdhVS8+If0B98IMd3eh23UcZRMCjI+ttxRzpydTGB+f2NnMhse
Ejvuw22mU04dic3D0xAXDavKky9+oiqOmtZCRaWKgfvGEIlVtQzdAZInZTIK+wWgGL1oqZCxNOxZ
IFCzNhxbNdwhuQU6aLNapDUGPygMlIDlerBw9PpdzPzi7fN+lC8LOMl4DC3G1z/iz6d08kILm5R7
pMfLYoTDeJtoLwhJteFjaDZpAj+5IUaPLO4lSCHMKQE2vvC1CVgSkxhuwUxARm+9iWSKGNt6UEVI
0jOpkjXprpJQx+NSUg1u0HutsUzharCaDcoWrPymlZO2GHVjFYP38hH6VY2bQ+dTGx+Zna3kFZLF
IHZu1mNevJJ4kVKCx1qnybsi1vv6kRTgNH+Y2mwmfKOE97DgPWk2zOuiRXi7G0vOuvT+OP3X9q6w
cf11V3KJeCfnwLIXoGUEoRgusDXk71YRxHw/PeGFnciR3wZsAzn7xxNm+wVqY+Ld9zhWgj+ssRBL
xbl3ZhoX6FYixm9NPsb8NIGtMQYcbADaLYLOHHRBj1lc0tGb4bPFwlQadTS9svGVYnG2CvqB0sQa
BaM1ZqwuFL/jiInVCcMwPsVH4a9qSNeOPhC9lpRGzVuzqTiJhkyLU0zvCOPKxDQXJKposUhg8+XY
GOP5Hvq8Y6b/MrGhNorsWte7ZZ51ynWPuHs2vbaFjs88TEx6PS0+ZhmDNSikiikblyJhGeHFuBRm
KtGzfo9EIPTrkxsRZ/kJa0+ojgEWMIB4vjks18COZYCGfYO8OMRTxUGKUgtowTvl8cSVm7fPBTYt
fOhUECUP5EHcW0sCicqa8Ulv0rTaWj1es3DJa2zphoAWxMyFfZ+dgwUj7SwIz2E6elblsp7AhF/W
xhHbXfVq4xPLIHGVvvwrq9DxDoH08XXEyPRt3f22BkdWtNx2Ss5CekKeAUPjCkpdhCLOQU3X3I2Z
A09gnffibZlS5jLaaiuR1NhhZQ3ZXvn/Q9iZNbeNLFH6FyEC+/JKUgslS2pZLVv2C8Jq29iBwloA
fv18SXBirukJ++XqdrdEYqnKyjx58hzboCWCAiDAjx0a3NtgKYAOiylJZtUHnzlF4xZDhGQ84nIW
jMujg/KLz7BBXJvfSVuRpf0H5W4WANKK4RDANESd87XK4nK8NkzPHH/E6bCA4bByAHSyEILPejCW
Sl6WZSPk1t8yic0S3H6BI0Fwmzi0B4GVPIynkVdt0Y47LomVNt9aJFJpwyEq3xO70EE1SGCiLA86
6zEPLHkzQ0QmqAELmcBHB9VOuTFsBzLuXzMszY/Sr+RcVzmt/+tFzRxZTN9Mxg0SCrM6/vkQPeWk
/5sIkUxAMoaSHDHjaIbhRc/B5ZBK8RpKPmZVlHPM9PaIGeAVMbkBBN4OsZUZVoTJLbU4H0NQgLI/
hN4ir8wyUJ3Nboy8rVgkEZ0mXuCfr/Ay36FNRsEHrM4AUuRBnPs13wC5JdlnFvx5QnMcZbGBiTo6
wCZGxLeN6qrsNavHKLhKkj70/1Jn/H++mwhFlkPrCcbvpRobyLnbF+jxPCPvp6O7DO5e/5ygmfjK
wOPsvKkFaerHpcWpdvfnu3YuDyAyLIatTGahiZJMQ1+kWSC8rQN2FTz3EzrDyFfGnej8F175KesZ
yIBdCFM18yuiJbwT891EAhwM359hA1rV5EMGbnw20vb/7Vw5yz0c19z+THvUNvd1kKnuw1AY8Ph0
vDrxl3oZp+J2LhLEW8ChZ33ItDGGGBnayk/pKBp2edcgtOT8QHVH+Tcxnmwwlvqea9gGemwodeFf
agapCX5doeBwkYeRI+UDrMeLmiENmrnvle8/l6i/MbtZjFAbkNmyU6isO/TqGmUeXIJD8/nP7+C3
t2+ZHgJ/oW/D1sPF/GJrDAMC9TaEheck8KYZ7f/R9j+nxWJkH8Cwq3mPr45f3AOsTOlftuVv90yb
iPSDSQjqXMwYLt4+ZEI8r8CQOFOglz+jGCRV6xbix6wB70dGUFKNP9+xdVmf0TYnEsCuRO/PQd7w
YrPpgIMMh3jzGQfUENcTFxBZX7nMC0BSDdaJc8bjVZjzwarV2ot1E7j4zjCQAMKJzOp9FOlQFUPH
oviA9Rgh1ohXycRd8tzev4alKFGQ9us0NahVZW08cibZyDDf/uVeLjECmyadx/AD8Q2c77cEo+nn
NsaKitPjdAaYY088rTDYsd5ry2vjh8UcjR5zeGux31MwC+tWd24wXjOQZId/iSSWLJZfVrE0JqXt
DwIpRt4XT5baIitBrzMY2zjoGHvPYaIbxdAYJf69EzInXV15AUc5ajs6GpSzgy7u5F+NrolX88pm
CrxAdx5iL+8gybBZ/0a3WMnBb3eIW/2lyrysrWx0FgBHRe8R0anfdCjtyi/7irf4nFtmpj/BRfTa
997ypbLLkjKP31L80UfI+NKVYraAFlbtQgQu/7L7g0tQBS0I6LjYxoKpyCO82IVKe1nf+k79DPdg
WP9ZaCegLEyPynffwqxoxhtrqKbF2o09zpaYaODiFOxNuJfJERabr28RM4D6xLrNo+vg1JijsLWi
g593/lVrTwZKt2i90hVEQq8MDrYJJeKr4+bOchNG2OLUu8Aq2+l7MqgpRyaHdKf6US7kEQIRQtpT
GKgwjnM1t22HJWjiJe1yIFvo/EcoexRLGbF++gheNhVfEdoENRwBpcIDAVey2dSA1NwZ4Rp/mYyV
gEwzM6IJR3Drrjj84ADrIjAhCU4KEs/gWsb8X1fGmDWosOu8fY83kn9dWjHx2En7pLhTzNqHh+2o
SNCeJb3xlsC9dcyUw2POp1M9ZZaeezspzp/bsGMK6hhHJnZTrfh2XBfeTAlIK4vTolq9iNLZLvhN
f/SM/G4W9jlTKi1VLrkWOUNHa6r7gLcb/6asq256CYexqZe/BanfjkablY/wKkcC++i3uGzODG6k
HVLA+Wjxhf2IgjPSBjjMoCKcmjzoqI652jSTx2oCguL/1oP8ISDtZnl+SFWZ9a9/Dje/RWwHthGt
f5ZoBDxzCUbMDLGEZTKtz6MRu27BCEAkUjk2ihQIP5pu23fPdgB38O3P32uZv39zCA7EmDSQUEBP
4wIGaQ2GN2vTHJ/N2cjH4Kbeyv0xNYh3bjpISnZuK1dIYXFoAOdTRq+zYtjjMPodBnL7MEco7MUF
h0T3AKep8TNtMrsr9oUJ+RqDEtaC9SnyQrv+gtR5PTx55M4E+2qIhkjtPfg5yVW9NEa4RxBTe5Ca
ijJ0aQjqSNYazYsQRXhO7fLadLvEuarW2EClZK375BGMM7SuU8en/ekD4fs3SeacqqTQnbEoaU10
mh/B0QUb2HCYrVFvI7KwfiKNktZzr8qYDL5xMsEp+A5i07Ta0u9tKBGoaoZeO/ly5NiQa7KgQbMx
up4VWyy9JOGAWyX/JQ8GIpqJcBZl6Hx6XuCF0nYm360Ediia2XOvbKVdo/8Hcp6cjXFDcZ8cmGOq
1nuGg2IgFk6/3PwsPO42gQ2MCj0M0whAarojw0cWu19UlzNkcvqS0oBslB7MCI/17+xCn2O1cq0e
J851e47GsEh5oHULDfBxa5ZbaNfRljQSiwR1zwwGKPERP4LBeCMxt0NktVd/LL4O8DcomjZYcAMT
9LnpvlE00gUt3AB9Vh90KfBp6HZ7vUROuzzEAVMzwXEU5u51AjKf342uP2UPi69z8pHYHosbVWF8
gzw4rQXjBY9kKaSWLPLXxwBVKntXojjPxyNqoF7+sg9+iwouIlcMADoBYCAI6UWaSO3EDJMe+2d4
DSp+xyPISL46jj9PV00bZauMpuXjf3NrrMwOuH39yesMVpvyRiytDEbQ0/Qvkeq3BNL1PIhE0GuD
kFnWS6h0HDoG2ddhfm6DAkU5BAFtmqtmhwxNA5HaYJVPiRH1L35qIQn0lwfyW/7jStrqBvQhIND9
1lxtTKbMFFSD57qyrQyHOc2UKPK9DqSN700zOC2zQTk84Zc1qyWVLqdefgwWGn3IMmsIM3/JqP3f
DnMPZQeAY7q+5Jfh5UuisvYgnbrjP4HTsBeQ94OFet+cSEQLNlX/l2NUWYGU9WHDMlJU8KZ9WGxV
zjcAAeuw7s3FNKZ/wH3BcDe41e4W/oKTe3W/YWmv6ZdGtLZYvz3OfBU8+hMiutL1lwiCazzqaWVK
VuMUbW+81FnXIhjJCALdph0yw51+iNCNSL549NdQ0k9y1wxF4NEmdpr+bAxHmpUR/X/FHA7rHBMP
j+CT4BlHAEGuCUho0aMAncZMbgTfH0fIT+6JGNXGBWnejpKNFn07pFi/4NCCsgNDJRt6mEKTH2/R
tQirw7oEyDExxuN5ydXqmfZyj/O5YIzncLXRo+wa8Yhnn4xp/TTqVi7KMxO3fa/LujRHEdmkfUf4
N7yBGQWXVBLq8wTlwvoLk/G3lc8EMHPO+AaGVOzm5XsehqVc7NW0noJmUd5NY+Eni3yqIUnQTKJ3
l5pD4r81FPPNX2yvvd8yRgqYkPFyMFb2HGn0RfE0LlnKGMe6QueNBjs5FqsBjndHJjsaOaD6iNTU
voQ6yo8zADTPtry0sXUcXqjPiBWHZlZAiGM/zLYk587AYZbtCW0uEXyybQHdcPKewY8y5Jm94Cg6
h8TkJk5i723CaixqD05bDQ3Cs1lnE8P1oOUjYTBp/ow+f5TDWq8C+QKVFfIh+IzQs6n9URgmuDz3
Lfm+l6MuhWSUnIjtAmfvHV+T0g+O1GstJwkygHHWflbFKtc4rHOGs5iJYSqVl2OEA19WDxX5ANj6
gpYxk0a1B18doq+Z3MJib4bsxc/qQllXmKamBVMUg5UyRanNdCjyHbOlyfSCs4YSi76QtuvHLNaV
ax7QGVqq7jZzvcFgKkw1DR9sthB1UlxkDGT/rr3Gi0v7xmln0VFGt3Mmi86QgZk+onRRFoDduC3O
r8oyOO0/ogoHkrPiXKNfx5q/ST8ybt2A9K6KedEPPayuBY+WiGNOf56xb6mKqxr0mDcYMRjJd+CZ
arX/hmmGU84tzZfCvw2ghpXfrIpzk0OcDkX7HvNt/qcyiZkGg48mgGjbr6Nu7qsJcZlrJpfkAKRj
zorVUCWy9EjzSG53mMA+sHdcohHz7bxlsABN9GZy5h9xogIE7dF1jeBZhy6Ch6iantKN7fPo9Euj
g8vWOEICVHMpi8XUUXVoMcXm8pvEkB993Jv8sGou5BX7JiuHgJFXK3LB5CoYxGBs7ac/PVok7Stm
VuGQ0R+q+PYeFh++UaynuCj2+EkvPPHFX06PCBMqvncLnrhiwF1lhLMnsW8ZyOQfrMzl+TOzyV33
UdzlP5kKzEfJntPJfkKzhpmAY+5kXFVUQOp7X0OVNMZ+pmlYXc/raCBLKu499W6VKVboliG75anI
jUluMmGa9K5L6ib/iR+6XBMuTySTO4hGqZTD5PDxdckEvH6lGbwOjPd5I/MyTE0YtLqcjG6reVVb
Wc9vmyla32/M+SuMBI1Ut/XNjMCYF94qEyuB/khF6If6a9C3XezKBl5xC8XliTWcOIXNVSpsbmL6
djZfWAwjvsborjCd+To6A7I4e9d3NP8uh43m35Hwyj/AuVm4sITK3XtDysSYpg9dk7JmQzIh7ml7
sRUPpX1H9N4ZXicrLM1X6IVh+cWnfl2evWlo/Nckt+Xu+ywf7ad2YRDqQ6PiPMIg1uzkjeBqxpCq
SJfKEu+HFJ9vpNVjz9oHvdWyzroJSO69M+aRDyILqvKfUZ5S7yWnlT6YScaf2sXAnuPty6LFGoeV
YidexR32uBsX+VvBkOP8uhVRtQMH+m27vxFTXu65Az7x70ra9XzYnK6uC+dfswBwLIt1c4WqaZ4z
DKiXRgblHemQeC0K3epgF3QwvrXBnE3/If+R1N+25uSWxTuc6/0XtxzI5SePrsDDRrAly466j+nq
Zd33cnY53YoKA4bn2WkRiIPvYTvpv6VL7uYe0HNeuok134QhgR1JPPXjvK7a2ZWknnF1Vsp5Zaoc
3h7azzXCsc0Vajtz8nnyvZlVpmlY5D/takqJb35pyUL2URsO69t2oQda7CZEqFiBVs4s4Dvc5UxP
HxIEjFiOzE3X+c92QvyagZwhiwcG6UL6Mc29pQ1STZWaJbQqpRhaxPapt4l8TBNrvhjRnYpfBw+U
c8Ewak4ChBJPJL2hYB6WZgsqHg8aAh8E0RgtbDzkwSKfDHelVYz6O30MbUSkQuuENfvTRsN2SWE4
F6LQkFKoLAZTQ2ydYY5eL9MY0eYxK1iVJC89zJ1DuNayvzgbezP8luRgPwyhMjyoww9NiHfuv43G
ceGxigev/jRxBKU3egQXbnfB6sbrF0wCkubB8eusfM/yyrL+M4m7k74LOizmsP5Taek/YPjEejue
i7Z67E7Zzylhyd2ibBAelyxtiFZPFfd9wBAahr9l1CzvqOd26WNU+PH47gRV681XIbQ6jD/wBkvT
+1HPZpvuMduIKETzmKgxHKAocCDdzgy0tTFGtaAYe8JAVIyHkVFHFkirh6anS231Cq0jVbqBevAw
oohewxTNgZ8ACQunB1CDFDZTgO7lD7dspYUWri5SSTnoJjUfYtCnXn7RLyQJ5xLLQ6+SX4TmzXtB
34Lenr3x2acyk5JucUP5JDq6XfcBEYJF3We5XtIPONH6yQNIYDM+JbD7hqN1gjQXZ82p1mC4ykaD
zccHx5PJccKwlRF+bz381771swOY0+MP0DxFWtM4pEcsSBmtb+idJnHOeDkz6+loCee4OTWII4xo
mM9sG07GYteWarD5PRTZyg90TaT9oyLN+i97W9r4wak/2zKySTcwSDp55NYY9uQeSI9yafwXl3/n
pr1waBOQMeNlS1ZRqFJ01Oag5YKGJrLAGk+QIsrsUpQv81zLD24XnAkDe0AwLw9Z6+GcSBrM+DWV
wggVnNK8bJScr1DjKOFXeIRQF84ciM4OhKZdRramHoMtLMVApAaCj4KEznCDEUtfTmFb0X+RFBMG
vV+vyWHsFWD2+RX5xSxvysPDkXtlLrCzPyFp1A/lbXtq23Wk8votH9sVQc4Qdm1RRaX/H2Vn0u39
wiTMMWhPYxHsYWSJRChKB3cVxht2eUWiItVCj8nE/blDigw/qnN7WtNmOB1rJ61x+6vHFGOJ3dAS
u551MfJQlqXnuvmqyX2sFqXcp+k0swFWB/+Gyq8BpvUGWW1TA4XupvEzIkkJg5Dlb2Wwf+tDQ8+B
nNJvUYkLnkc0MHiAaDm5tv/Bmxgyr46wptgQNyYpn+S9xpjlzw7yE6S45y5uHyE9hxqeH9U8omGZ
0Ozcibpa036dVlA6XMdCg7fZkwcgtevCHyUAUdwkvGnc0jUsl3NfsdJMpi73BjY2eGapyGfruIy8
Z1cdQxU5JqAOiuk9DfMyIJHWjnb6N3ACTCoPNRSA2XzgBqEUMNUXIH2936oiRPgahiy8mAS23EUG
J+k7UrayfDNwXnaWRwjln+qolXUSMl7NL6YoUgcjsyjs02zPvEYobHScFZsbTBlIKHYdLrvVVe8a
WJ4i4eBnKNpmMTAlliEn4osOhLyCRQ7yGfS9F+1nT/OKBc07WCwFIT6swsg+lZql1bA6yQ2ko36S
W2jNsqhvBgzTxL9c5njoW6j+hznZUf/OBiVAbJSHAC+f5ikoFoH7Tp+2jS5UCMgwnrJ95lqObKTC
gGLyHpFts48cdBU+VQPVdX6dlmBXnFOoM5iPKw3H+mXd9iFRXFrZoZoaTibPglvYHH3oirF9j5Zx
6wRPITMd7vCexBGvlwlxJnzMq61YLcxRgpDqGP27gWUDK6OIEZjkOXuNTCVBURTiw5lHZA9ewKYY
6hPlIeaEC27iPmzS+UNdh34U3RYL7JfjsDXdZ+RIhqMKUE1hUTm9UIRaZj5bZsozj/wi7ZBs8nYB
PQfKuWKYJITlTMeyPAyFrAsnntkMLMIQrTompoIuZDThOp6WlCHKDjynunHgxCu33wVLH8wwekE8
8nIK91PQJnqiRwkleZoRObEVYj7OoUhzw8Qhau2ZdFrQbWU0FlpmscuHFVe54R69qaUY+9slwaRv
jP7WEjv1Sv9fF4pK3KexA2fQd5hBpat6AZJByZsQ1UzCf1BYrkKLMF0kBnSkjJr4wZwsaW/4WUCS
CJwnNQOhscwxNQyWgV3pwXp+QJ4qQllE9f3ov0HEWnzJ/OukuTUqJOshsTaLvfzT5F2RvU4VaPgt
ECnyBDss88Y+2pdo3LTWXinLbtT9uhTUot9gnkjQjpCkoFZfaTG20RPdIEbtdo6tmVQQPq2UVEOG
ysEko+JoUIr1k5+Xtz6MC2isJfRTElQMd/L1xh1RwUn3ITqMwtNKLUnbUcYgr7e2SizDs5u0yzF7
FC5vmS0jIU6NRqpUpzQMy33o0gBZaHSiG5zjhwml3v2KprXYqFhZQhmk3CxiNr4AXDbkRlOeXcDA
SpZ/wWM0LPUxr6BAfozWzjSCO/EGtZ/ypQUO5azwTX5sifoS+zQEsX3tSCLXedJjdBVMnLCvTVlz
/a5iuvyBdNmNnizWe7/exEjv81t1uhK50CECoTqQ6C/UWFijg0E4gvQ+bMVuDa+P05dJF7frPnkG
eos/C3ThuHG8SKv6gEtPH1A0ja3Gq41W2DLUr76byYZzIBTwxwNiPPlPDC9Snryyc4yPHuDwUUil
DsZRPQkxlUV/RCOg86x/09aQ4i/DZtx/g+QyxteNNik0nawTlEABxsPBzHyXhqhj1UXrVKgBTNRi
SRfRqGJllgtVYkWlz00ZmvR1unYjT666tq2VgH2qP8518+DMDLftSxuv+fc+cjP/ra5idaqtmGM2
zzfgR1qqmckpE+TANmZVFy0Jl6TFH80gAyxKp0a53JM6PAi7RYpk7a78aHFtxXorSi3eJ+Nrqu5v
tttiXqjy8ocObodBgskBF+TXmhJlfkVeQbq+c6HlxQdNm2bFUx3jf5kesRqZ+JYSAJQrcEA4ealh
WhUzF9Km1oCXPX4Yw2OOQBJe8Jvi09a1q7oK1Q047eHLxsSdgbFlGTSTVBzJ4sKTK42utZ+E30Oz
b6Lp0t/gUefX9uOfIedfm8YSXTyLYVqmcywwv99UFfFJsfUcte4/kZc767/YX2HqfHC8HB97GhaD
DtHjXSM0HSpjXDipOzoURrq3KoZR/nwpOAL80nDnYpBD8xniZrzIcWFTXKCAobaCKhra+IkKPzcw
w2ZYD6i1LePkcSzXDsXvwalNllUsWhToyqwpW5NxxYgX1SP3RRA8QTlRQZH2xDgD6xIbF48luCEU
cTTxSzpy+LsIzzLvzUYQl0TK6DW6DfuInQ0ywQQhKxBlM/Qrjggtp0ggolEjZ6dChJuttCEibECB
m8gFpbzW0Ugi35SYsr5WvOAGqVN7DfSKhmsi6zaDNsqWY3JKA5oVnCOoaKDJMH2HeAr3sF5TvLoP
tWvh9gIulADkEA4kxHdZOMnYLu4GfBNHlG9jxgu50OquRxT4WY05NorTxwWXOMI/eqxceoM2uQc+
DbKFDyIUWT6pyiy8xV6WqtU8Qp9CpfJ2yPLFQfRfkS8jvI+2Dg0H2MXOquEe2f0wP7pDOgDQx0kD
mnpNr5czYs7yE9gW2CkBcGAGKP+pRsxeUVhaavQQQNQbtv2GJRu1xztxALwp1BlOJkaVyFp5bxYa
Bd4bl+UUDsFuRQkfexc50ZykkWetDIxLdqjwkE6cm8ZD0k5Ljbuw541vDbUrSh2FxUuN0WbgYhA8
AGg49Lhjxe71FNigUwE8krK5ByNxsC9cB6ss05sWIazuipgexemtCpzFfquQfxzR5GhoUjNu6fKt
Y1/U/XA99M4UJ9dIHhsmryQtw3zZ1/EqEJmV9AJ3WVgpEV2Qyht4JRUuulwNzrg4InykPQ5IUU0M
emUfjFFNPBsOJsHpwrWTYy2nH8FbpmfNXWA5c4IstgfnMbmzPpg9JmzWERlfcs4tqnipI6FuAipn
KcbbZmgt6LZvxbZaUr5BgokeTWen5nKawz2KiPw7JiPktK4TB1z/UIXJCWacSrTRboLKz3n4+dRw
gGyhawS45feA7Hg5i91yXsVas9qBoYn56FbJrqR8BJEYulbe4IYcn8Eo94RCw5jMgyd0E/riiuKp
40/QTeKMwVeZP7HHmT+HlxHgV5RX1H3dlW/Pcn7lG0I5xYq4sCE5dFxWPgArDP5VnAYCtynGRIFz
6xw0lLzfsP19IrQdCMmFrX/4ho8VwN00Iy7GSu0s2Qd2CnOPhAV6IuD21uuYLWyInoJasTyh+bi8
me04jZuIA8Jb1sH5+OcgePKh/R/WEUEQ6iC5Hi4mES1I170gz0Sl5YPZNelTrkKezaEIyqlO99gx
2DL33g06As6fx1JbdO3xF7RABcxaMe8MfoS+U2pktY+3oNx9ysC47AaT7lq3w3IXVJ75/cIiG9wS
L+UGgsgubStPzqgxLH31rQL7O415M06TkA3nT7mxqvnfGtFgUrU5l/WGAIgQE/CRm9nJ4VITasOx
PRWltR9ZOcgRbmbuPo5iDjQ6m/z+E2JNM/2W1nRyHjO8bsXZ2qPzyZtYmAJ1bz2MwBrvNTOpJtcn
nTDDG+3HeXXQH/T1UOofHqoJ04upKg8FRw2kwN82RU/oLYNI7mKZfXbH+WKKbOJT436SpgW5M9kV
+UXWVtdLlg9s3IXmCbmOjWQG/jBWXM7rUeHXZ1NM1vg2GXv/tNuqFO2V85FcZ8w1wOLM87oCgwqY
0PwI4VXuOqy0YO0YABdkvu6MR7e6inIrLb7i7ja0PzCslnVnYZya/+wXR7K0eDsRELSTJ5aMVU/9
zhmlebQjDAoe9ByjFfG2NRacoAR2DhPtZMvNXKpq+aBarmG5GVFH79+ZBW2S8D5jPhQ9mK05A/gv
p6QF+dpE+q9isJpHRe90aRg/r5SQgms9ywmRChyMTa2n2WcoH9Dz8u8M4Za713bR2GnxpOdaTqXW
AGF6QkO0JPHEo2p2nhlfNewvSMDR/Lg/HzJqHieJjUyoEBvJwmQzl6GPa+FVMzrLBC2ZUKRoXpzg
6vMv5sANyMlCfJSA2a1TRsciTiocynY15Vz01IeA6d5BgyJLVjD5kk9D10541xFkWvKWLUxkSSW/
ce5dhYmyUdvZbcqeJakjWbGO+4LPd2pHDpCiY6LD3Zt0iQjZW563lVlpGOY8CEYZ5SQ0clNqD4nb
Dsd9Ug5e8RinKUpyNx2kkeSGwb/SfmsYEyuMow+e3/3UPQpzzsHMrYAG3DhZfd99OreOyI5PfZVI
AVb2O6fRSYnChhWwr9dP8zB56frF6gnN44ztaZjW1QGQ00j828VjU9RH+j9j/Ggh4CA3gGfX4u8w
Ekrj+TiNmVx0WOPiuRzYi3H9koj3Wnc7w1Xn98MGaV24+lYuR0GmUOKnWQZlXM0vnJxw+HbbEU5L
TNtPAAkSNmPFxeldMFPisa2dWcoDfPNmFIA6qF3e25yg1hbtc2ZBqJWYebGO+kRHg0dfcw4ybeFl
0ReYX+Axu7wu3NkA58vosFaPunXsOrnVbY+zc1N2ACZX5TwwvHasZbCoewjUqBUWKzkkPTK3DOmD
bMSAkhIutP8tcLu1S1yoe7wOAucq0KEEnM7Cv/FtXltccPZWuOCcuy+soJ3su4q+KYCay5iaYx4Q
YRJaQqYYUrWQddVwvT9ZQSdFrRGf2rM2w8myg1wXX7clQc4Tu2QAckmQ8FCw+eGYNVonx9hOEiv7
0igDncZ/Bo0j8/rCvpbdGelesoGFhCrP3/qVSNDdppzExAgnxkPIvrWBM9hseBy7hMmyhex18NNl
DsKPZji4fNb57uaipbCmanVka/S5dC6XuLHYc0xR9v13SDdD9UzRumKweU4Oe2HMqQN7zHMnBJHD
KY2YlMrk7NN5xbGKEIbc07kO9/0aG4K9fWr/gegS6QGbCWzb+UP3tyXIuZoa5LAyccwiyZi/ozcL
fsQNh31BAOmVt+BdF8Ks7K8QHUcA+FphLxclD4PPXN2TVdey9wG3adZRygyQcsrICBL9eVtF8M1n
ytfQKJltOSIMCVhzV9ueqn5seEbqL4j67Ry95s39FFHMWLvEg0OAESGWQ0jwwsXybGdxAENMOeD8
cVhzSWQKm9fe4fs1VbJNCXUGvP7VMqRwpd6AnjTtwHBCXlJeloO5fNZlEgTqtjQYqP/I9IE9uPcb
fdgBIGX1zkk3j2JYkU7UvWSkZC/1ouQ/bUuoOvWYzapGbbq5KanI2AcughIEG3b7xKar6bDz7JM2
k3K5CUhku0/nwtd0l7kf1H6RWVjrXSNWVmDl6CK6iBpqsITTR59hHP26rZI1birlXbsd5s7YAbIT
tfUJrqHP+2AAepjD9kprSlnmbU/1xTbz6E4DW9sGOmAHIx5TUSFvqSDcrNPKD3KDFHmDS/gwCc8b
WkAvVYK0tNCJOufOHjIAdCahuxfSesNRGCPPfW6QjrjXZwRAMDfeWTUqL6ThYxTAgfXVEMUK4iSe
ogyHgZYPvPQdxbjNEoNvUc7vUQvnHBtzHjpP8AwxILiLQ9Sruypa1DjkRrzBWmNNOggxQBL4aCsn
0nLoONRp3lhsJs8AHSyu3CWVnLPklIWFFM0S+hiiNgoMTD2eKALvoaFczMnLJTFvVNlzgON6ymEa
nhv6CqPw4ZDRY5gqmkkLMDSVJXW+sYeGSw/y0cJlw2/+cRdjGL8j5+41D8rVhl9fT9sR7NepSxia
GoNkEl0oatfpGiKmPCWps9mr53JiOaWEOaog3EODCA87Co4feVNu4zCMhDl0A4gWRsMICQnCoGcU
mzQuXcYNbkNj613BMaendWRB0F2GKKOy8qXJTIqrzGhjZZN/CFWoc2gwPbX2IAdwz0gZnfCusYsH
RiQkDVsmFx2mHe1aCWwRlA/vrUz6U+7TlBJxeY4IXewNWgG0xVN35JJL9h2y2afkPjY9gZfGLFz5
oO1NAA305XFtSrUcs1Pf34VBAlEwyamjtxJjC1RFY9W8zlBkmFDniFM58hq/9XjuZ5So3KgebpkK
IcelSZP/dHJaj09DUPtDfVWhGpMkO9amU/cfxxrSaHi9UTm22Dd7oUxRJN0kq77sRmTWdkG8rj06
QcmSHMe5TeyAaWKtWgQaF7d3hh2uKtBdryPljlGE4k2tkvt1QsvpU3TqUudGBd66PyegG4i1nugU
bC94sjufWg7tj7FFG7K+iy1bQsW5EOytQFZH7bWj/gvp/2I837MtMCQ3gutsBl4YMagPuPM/OgEj
hXESr5nz2ADUmXcmotvGweIb869RPsgD3tAuhGulTnYYH+HCtA2n6yH1shGzHY+OeHk7wZdJrplx
mJuvbRQlmP1Zfs/vAsFxcPy53hIzrl/KLcuGge0G2GRxYDK9dUHF5vTyVkyd48cNPoJ6kfUAezAX
mc+2lVQpdRG2XH55AuOGBJL225lxAnkYyOPPV2RfomAQ5QPhwwa+Ayv9Ny4cqUu/5okuHoOhIp/C
hhU5DkwTilFAIyzqBb2J56pl4Yd+53BksH0lvz6Ths45Wb/GwvaZItpe/zLxTtv1Tqc2vYBryxyg
+H5JtsSCdSOirTNtDurleTrlpF0g57pPJ5YjO3EXiRlqiBXf9uf7vUQgLVob5EQgfwwvQVK+eAEY
dnGFKtcPSqjuwZ3BU4FxwYAeJbwBspbvNtxkaLFjoO50UHsHWp9j/98/X8nFKBVL2AMOdUy4+ULC
DS5p+RaQ3Yj88vQQ+qlmwTmxCA4w7y2J8blsa05sDso0TgyEbCPvsIYWB8/5Inuz78iKrSSAKJfW
/H+LtMK9zfMSwL8+8XeiFYXAu+2s+/Md/DqgLTcA7GYjaIi4FJKDl2om0YiCduwM6kGdmF7VYEKj
2UdlRBBVKTp4fxv0u5hF9WzZ9nB/OEYY+TH94KI7hQpBjhi0Wz5o5OC7H1rXaZntrBMRrQhnCmv7
1NBA5XT0gj3MsQJmZWvQhyI4clk5I8Pggcj4sZz//DR+ZbSeri1iWUUsL8ZQmb/+NSJVXdipcQjV
w5x4UhTYMEv1sscAc9bIJZMD209liLTRW8hc9F+//reIaKMahfeH8KZZV8Hl/BjntkysB+MH9rvA
w0nM3IBASBZpA7QylggHlKQ/2+pg10sttYw2xMX9tDo8GLfyyQ+3kfXt/IZ+NyO+nZqY0bz0rsen
/PmxhZeryLcdW3j5qG15NjZqF88tdqPerMxJP1hYq1B/nDmAno/xJNeFoSv0SAZ67Kdk0gJvZmTu
3F80DQImbgW3u5CrAwq3MVsIrWLp8YkWPNnrCe7d8PNsAOElr8IzL873DtAkhO5z/pebsZT9mhKC
SmzDnvDaAT1jMAVpfedoLKGynIMmExq/LTQ1iWLUaMJ9iGF++m9D1smLj73TgMgZd2Ayh7M87Wnl
S1bZKwqucs0Cu304Y+3e6bQPUA4hOyEJk0NArQOF3aBsQ1XXG/yaQxmgMXwy85g3GMrimlnNJ86e
2g66xfFOHbXal1bOlrN1p9C8IauGR4MIzEqTnFNbbzDkWieqeCnSEQLLRgOKz/SdEln/K2X7utXX
mc84RHsLDgkfjTY1oFcK+Zg1hA+6xCyoBBwBcRy7/pPJYCXGPqSLcIWf6E4xgX1ANib2IHm2ufXd
8+CaZbukBouGPDc3klmhZiVUOsY9IxKHM/5a1DFpP6KMMghZMW9Liv/nNfhbKEbmGhA04GW6IZKp
l3EFEpZvG3gEPhjEPDaNSrUgi/6SBWQ/tJgBBp62ANNsrMAxJV2F9RwtUqt2BeqP/c3/LU83XuC4
ImEY7Kigq5ohgy2rWK1iyRE/xZ9j8PbjCVr+y81cBiLCIkGAhhYMeyLSZViGde81KY5QH1RMYk47
xuxnhNlcpOXyfne+cKiZg3+IMyTb113Xm5IktafU2WPt8Sr02kihkbajtKFiFGWnj9U08r/TTHsB
7rHLSMub9jDA+EtOIlH8fzkIfoDESYD8dQAKY3JC/hpJDcOlJglV8QGebO+1h2iyaA7AkA+YHkPG
Oo9YAdUJHf7zo/stFMkcDoNyhE/bx/nt4ouZMDUQv3Lt+zZE7+Md2Ip7s+NRCNDIwhKI/vx9F4p/
hDs5x1hxJIQAQ/7/Ie88luNW0jZ9K3/0Hh1Awi96A5Qhq+gkkRKlDYJHlOBtwl/9PFmomTjNnlDH
rGdxJB2ZKpg0X77fa3zx73ea2x2eUbVr31lZr0C5sU3U7GeM+xZdz7lu2z4ElSS/gIgEcI4rc7jr
uoTjVB2lapO9vrFkWTbkVla//MZ11yQEVVG/1We2wrC0SXc5NHGU6ctD70zssoERx7jhN3pllUdo
py7T7s/3+PFlMgwpchzfoFpn9/44tWYLChPRT/IOroWCgJH3dCbIGdh+ccwKQp+V1+6qhAJ//mL1
sv4+inBHcBEm64gtKVKY2f/+bDXcTFy6McWd2bMF0DVFbaZ6BkI9MkwqVJd27cTMWDdb2LjQUjb6
+58v42PB6bIZ2y4Dir3x/yL7JJMG16U+be+2Yxq/1nkVKDMUHgXVrBTZKbn0CWYnUpc2Qdeu/4rK
eJJ//flSPi4MLruVRZGgZDdYVH8USpssWSn2svo5bwu1kcKJVKAzphwM81Q2nDQ2HMhqXMVj+PO3
/8f7oDTyMLbEQIDzhv/RpSGOnMHQu1qeljxBcH8zrAPFhJ+APSLvUNKf1+v6gsqZQbudo/98DaZ6
6X8fFB55bpaSwkJCYEx+tAUkSqrKyDEaz3U3SgJYhKtX6R77RF/72STSrOiAtTmlXGB2xZj/TDMy
bukx5lWeJntvhsDGOinnzH4rY4S1CeL6S0sxbmZGV+8MCseWU0RTfLsn2bjQWkiCAh157HyXw+lO
4qg0fuubVpTNYR5Nvfk5+KBO37LKV5tccxFD+JearS5xaPzewJacyHAZKw5Na7ooisSUDqPY1d7S
u9MOgJO9989P6+PQZQVkL4GyATsOleDHqRuNYM5tXmbnMaeFpXTUqd62EJmdWUf+B1hcLjtpkZ0l
glFL23gBpiixVbtzRNkTx/Pny/m4kngUirrue8oVELXqx1blVM8xVphWct7ObBsvvt4w7/RyApnm
SHUX//y1HzcFj8HKgzAuYjH0MB/W6AbWJ6knjnOiT50imiIRgvrn4qmdIZmkvPlv5Qhb3b8PU4Sg
zBT8aUzWLY8EnA9rFw6gHYLLtjotUldiopr8t/llJSeJ0x4golvMAF2kzo17AexDBVINqyrtR79S
RbE7D047hvEMQb7ak0GzKokUxnwswF1cK8WB3XYelRlKFBTdu0WSeaKFmmhkh09q2wA00z2RlXhE
n6dw4q3WzFeeVhdqPg7eL2jOFA6wtafhZCt42N2O8BsgBranulVSthH/aKNFjCUmW7SDK2OgvPB0
DUDQ3/g1Y6SzEG1CFSSo6kYSupf8pCex2pmu65ao0jyLA7xwtSRCxK2oquQdpoUR9tLp0u8bN2M7
wAhtZt+++q4R4qYuSC9oeKL2SARckhBixighofmw1U5uyzEu+XQtw69nCMesFayVXiSJRmEVVR/o
cDfqHB+tNXZehwuJsWISrB64UlTlb9eRAezsgmUI0kZyzKriviJZipONZn+LF5tWRZgtWBwvQQQX
LLqN9NxPin1S0vzt9zIbl/LTOq2x9Y7VG/UPtlBKguTJBR33sWqB+Uji27iKQwWhBDmK31xOMEsF
uwG3VfT2d06KJfDLYEG0KkjWzqETXMEBhSyoqFEDE7EgdTVYpUFh05g1gmphLtOO3gh+hYi1+cbh
0DWOAQnh6fRlWlF3aNcu98aN3AhPMNjU65pp0fK0N7xwufS9F39RKygqVVGgh2lXaEWttGbeMUa8
CrC+YBljZZYOVWezWKK9QZqO/CWoZ3gEdB+3booATeJfmXJQ0Xc0nWKJEy3nYn13LdEzjPTr+mlt
CDWf/zeJz1oBZ8VFL7fp28BBaQltTecyamkIMCXN/pvXZ53ztEI4YM70iaa2pCsDU670LsPeKVVX
h+62ogqm5qp+ysSgUKNcE+xt4P2c+ceadgq/tZEi8Erg4a82kDpkP8S2sIE2hdvoGNSc0jZV827c
ZGXXvne0CBvr5dV0p+qu2JocG5LhNKbEP6PTu5zVdxhYIl42Bom8gOKlwJz30UcgMxzqtFrkborG
QRKZNDnROYeNaeOpQPfthiaM4pXmnqnAT/vSbKg4pXCZ2ylla91cGZuWNw3jo4BxYaOGSpxYf8Qs
liNrXcE2+C1qSzEjNvgbCoakuursTi0/xZLQo6PlqKa/ayWc1LOxZ1rQalzwlQv6FJ0eFBvBxCdz
HTRjxEWow10ZVZVhrP7NtXjDNwjwH4Ku40HknrrJJac5VoeWibZv9nuKoBfIfV07+QCQ2ZtxcQtn
tTXwnZPAy83OseachB0tHizK7SX2CBm4j+uVw2jQbSwRuNZqmGmFNvPBGhJufrqq/frOYWlJO181
GTLLn1L3AEskGduQxl7R70vCGBbiDNkwfT6RZ9N8AlIrOxLloMzR2y2XliG9NbbYxlnIqA7VC9jU
hxgs58gF/NapLULnLwd9d2tS25tWFu9UIABH0+2oCSq6GhZWkxsjQatJvLrXCeaCJdjTKf6K21Kv
pICToxiGm3524wFX7CYM5tXSbFu+bzCQHBnixm6sRc/ZnX25pU2W5TADcSWCR+HvR22IJ1psICOq
hotL3kci6lmdiK2LTGFM1GKfO54iOWyT1MM9yrJVS60piqdk01dupLwrb2tTFxIbr14voQrkjC1D
P9E6qShtx9P24jH6kAA2pLSyzpUZqlvoB0UmmrsOHdUc7UzeamTdDHBGZrI/LxdkYZeV7LYt4wr3
uptCdyP9b7tcqiE9eqEhqW4rNi88960nsybumt+MdrHkb9srAmhUS4ORmorLAvQ5Q58g1SCp/9pk
sixMNY+WfV4dI51iZZZsfdgr+2vcVJvLtloi2Rur5xrw2/3ZGIs1Hgu9ZUWQHAh67JAvlKOth6UN
rcIgro/QdiYOiNFIO5tv8x3VkRsuuFk7VGJ9h2VYN0fNLArf32mt467PiXI8QkN6odWU/qgOQbHX
s4agLlYa195covV1cTEDkoF9Yc3NMYktToAuFVAm681corchcq0NgaoV4JgvOADzORfZK8I8dbbQ
lbmRgacJ72jaaHvQ8pb8wRK1bgwM8EzOy2HUBULJR47+k/VoiqzWHzdSnIdmm115sz5yc2Rt89Na
AOhAHnZIu0GN69rq+XdYePITGm/GjrzMz9o2L9jh5VkJOQJbbb2K7V2bmEE5J+ak2vK2kddc2F1U
u7yppkM7crJoNlFxJwjT7NfGwMDh99JkWDQG2G0rIO3a20vkyO1uSNvWgC3NxM3vAS5Krn+hh28P
8E1w7uKaN7sDVjaudaPHXemmtbBVYbXtFdHG9oUh4rJTDwIajyJLVj3OOYlldVx2XS9KuTBkaBL+
D7luaNOLAH0jiLE4qSOfjyfV9CJjS62+ejIpWuxGZrwSz52NhllvjLPUpj90TwolC0lSczL9y+mc
rBKvaZ3RZcXhprec+FrFbRhRO2jqRcyXuignO445Ssc2gqsGaZN/VM4LOlBUk1bNWtTMnD4Ik8k8
vwzQVtF4DuNS8zoRbrR72YzqsIMWtug8/O+nUWBYf+m3kiqnMzP0JlKemtfTO5JrXncuDQutRN0P
xZ6q0U/sBzaIEoqftRJaAPnUh+ENcZ9+Frj4RhvNJuQQxjmtCKF90fWCH8XosBIg3ETxenBkbCz9
HTT1HirNBjxft0iwCIUnGP7qE4w6dqXJdQdXRg34hwJBe1qp6Fg2wgX/A6W5v2BoNtx92r0NTuSv
5sqLpvd1GXZVOfPArvTw66qeL6rjeWWgEuaYka0yAT6+xFZvM0BiaMSQJMRMXa012eX9tFfW74X9
AoaLT+JNiiu42mdQqdCwQw2ggKfrbRAFpEhS8VIoaUe1eQ1olkWl67udT5OHXD01gmWTKTSZzAyF
XTsXIGG6aMvZvNUQ27gO9ki/9nDVtGyPvK+bgtBGGJbZeON7GW2Htho43lzXWUR7Y/NNj6j5bi0S
q5oRGjpSQZqR02r47AKoIdh9r2C7KVK17HkXpmzb+gqVboop0+cnqASqjLVXQ0G6JlFO80t+Qa/X
uKZbsOGYWzHYLwojDso6qwwjnNN+xBv8unuNiWMyECuYGjyUcQJJfs0wLr6MQEcdkfzVVH/EKUEJ
lWpHc2X6ZWYJp+eQotxQQpsxAvg3Jl2ReUbX4FXB3GRHvRLhNgG639dK73GdhFv379qCp4HLXStB
MxGRPVVff7jeGTufeoXbrY0RqUkQpbZGl5wKUXxdy8HVzyLtFSVlI5myFsvs95XyidRBrYGrV6h+
IQcBtrWhYXqe7CRWf3IdiNnFAiBHYEpHg84I99Wso6r09W0TpOXlEeqqwyte/rL1TLFLlxpw8oUY
yKh7ubK0pe0pKYSelFUdH1rsjoo3HKTUeywvzTqajwz/6xi7ws1iVZ2BokzVMeLKN5aXJrk99KxP
a8ok5zUPi+ChXsaVp9eMK1ZzZgQG0epCN161bbe8/yU1VYm/+XBsdCJO1OwSbrwm3pemmyok6Fjv
8DyjJFUqfApLBatmm73xcHHH0zxaj3HIiqc7nzqMQ4nMWKkG6788o7E0rPc0quwF92ymt5YWdh8H
Ccbh9vtGYtlk2VTxfX8y5qR5c8AIZLu7Lrt6pshFBlI4Lr9zRqWU2mq2K5PFI66YOcusUi0L5HY5
a6JmtaK7hac0jl/httaMTsrFlhaUcaklr0QNCKcMqm0/1G1TBYVeP4djtZIjXenqHHhZW0stVz2P
K/B15f4YrZ5F9c2SIMgnjVmnSGU5ufSnZJHkkFozV3GatqKpYdYzQ6+yvVG7+L+122KCAEiR6sa5
LrnOeqXzQAKR1WKNGcyd3/qfieRWg6DCPtntKbwpfR/TTFDmJgOJMqqlN1My0f4Sbc1UxS2BHemq
InMw0+f/ujiFQR7ZKuc6JE3b8jqOiH2FVPNCVIM2AeSTXSQ9V8WUgdwaHvf1iIdaLJufiTX3Z4ec
m3Ugrjqrhpl1INUaaI57Z6N9NrmuuJDb6mZ3IBFd2BcGhtL7XHrAlSFSDF3edzDGtDNFtxa9bxrE
FZMDdspSo78G83dh4QK1VJN8Awhnlz3sjKVMWjXHzZBmaVcl3tqsU3ISsSx55MXjiwAKdBmgZJeq
+Y+rmA1/D5u0YlpPxUqDdt53YF2l+0gYQhXb+5oU81HuOmXj/9kloPy/9XmMf3dkoy0AOO/Y+J2a
NM3x0f3Q+h2Q69uRFScn7FowsgxX5OqAG1GtZlJXCbUULJJ3iPRyw4MIS1PV9vX+Nysh0ojVpLyg
fv8/J18q+BQg8Q/Jl7+m3/VQvRdv1fv/qP/u3v7q3t7r7u9ZmNdPuWZh2uKfjqBDrhtKHaebPq94
+iX7f/1Dc9x/MtcREVumMLApVraU1yxMR/8nXpRgy54ickBz5bJkPfTJv/5hOf9EUA0PwMYUz0Mk
aPy/ZGF+6HgA9NNooJlImpYFH/FjiIvyq46GerVvF1wJPGKLCrKNpWFyBowiF11C10PjnTTZ/TcM
9wN2jpeD7RPECaXBcrkN7yOCC4mO0sXoULralXHL4+jqY4dHTBsuCWJGmrTuTL+bpksoTVMokn7/
3xDzj3wZU/lS27Q8bOzRjf/sa0N2EWU9C3nMs54EYLOmn38gttO/w7jA/2S1Y/FUrL75a25i/1jR
E753lzo64sXieXsi4odm97cR9bS1Wv6nGson0KRe/usfH5+LoCdHA0ZgGAzz4T/QdK8U0ozwsT8O
nQchGVKDpgWi7Wa2M6/5XrtjEdEylx2h8DMq+ADFV/P9z9dw6eP+rQvEY8EATngu/qBqBH5kXk2x
BxQlkxyRq1uOBx0TtZt6Fc4XCGD5CeBidg5kcoE4CDAZhTs02JxIbHTIHuon53ve1e6bbWePJSfg
HuvTacCC3zeNoHFWsgCVeIeEieGb0+CBHBa61RZESsUaJijFkPykg0F7pE8LaR/gbi16IFLhk9jc
eY//5V5pI31oJlChoeuCpsWTx+fxYwOjYG3t/MY2SFZAsoVFCOd8Wsdd7CL9dNxPdaXjcyMZSndi
HBE51XiBRHgJJlUUaGZup2EH46kPiWlJbvTZyh6bhBxWLH97I51JO5grYguqlvdZFujcT+Niep9X
tiU+JbfdAWPyFkFQSrmvFdFnYzamn6ZmNN9Fbcho7wk45YGg3H7HegddS6n3q7GLkZ4Yu0bH5OhQ
k3XMzCVdhlNnRVrFjriSApZ8zIn2wdDS8tsy2HFxk0EOMpFN9d6t2ehlnAaOFhnPlPc6eVZ5aTaB
lnVtSsQ82pTT6ifD8DVyNK4dX1f+zko4UX2L3kCVnnSs69t8XNLyvS0rqKF4YIxP1tQ6Rki2TE3Q
E1a+Z7+E+lWF25fg6MDd6JNv9W9xnfXvJa6/+bc+yqNfievYCZT7LPmLfXfgCGBJ7y9sFvOZjPTJ
NMMJJ4T3ISvBhSURkViWaGbjhSvEhQcQoDXI8YtLCFu0JLl9iBaK0CDs6TseIOK5dyl79pz6jeaE
DMsqDyVofRrY0F5fkfC4pISILoGWMydEgfur7IPeB7w9IwNdnZ2M7Nbe4SiQfIYmYU+7Gfi9pKwX
+HYYJB01SEyHuEXHlctmX/g5goXLBEXrxxOEDDN1hxwdSXpOOIWZd4sH4Srw9TK/Mzq9MD6buF85
xwlvHvJwpaj3TjYVdy621GU4aVQ856Zalm/bm04posedKmL7AIpRkwbj5XvIOeVDIvw55FNsQDA7
1alVtRiq0TwM8Oebms/5hA04jmnoPgICQTzglFKNU7YyNzqnvsIBJVSE6dHELzcnmsKyBvx+qdCC
wYpyO7A75VNta4WZ5wH9Vez08tivkuelJAojoKZuvxlYvcX7hHUDR4JpGpebyM61BXpm778OhVW5
uNsK3Ae3TWcLU0Bh4Jp7fU7m+c4c7CX/NkwUyTsNJMrcDyORMEi7ENXd1qnBhlW7C4uIWXtMh6r3
hal0BatPqi7BHWYYY4tT3yJjlNWXBQ87CRTic952NaW8IwlOb04s9KCkaSua4bjAH/qJvUy+7oqe
ZNI2cNwEAPWAc1Zek1zgJO5dTG8PTdXk9t2nrHXj6JsfjQCDXkc21mGO87G5IVOQEWF7KkUC0MZo
WhtlpOMQ+gwbbyDvVDUf8IrRqpMjqTHRXyymgTFNZjJYOB7mB8+SU/5t8RvTuql0OyHSByXqGpI3
yyOl6TRMYY666ZkMElaGWPhlSQAmWvU9PiADAcM9pJYQlDwmcyTKvepZue+VQeH5cfqpR7YpbnpE
3uLc6xHBStgv87UlANMQMml51GBKwr/zqqay3paeUfvc0vTVvlwmL2aycasH5CXTJcpyJTUeiDxu
g0GfO/NogOz7YT7q8s6YefNEHMvIDAuYmG9m6saQpVfMoPccn1PzR1TYEb3WqLMwaTVRsOxs2fOC
C3JLymf86GeTXM5IzEf8f53+zSN3TO7ylc1M3yNR13ERq+bBui8sJD73GeY93mtjksIK5LnW9Xom
1Q1/HJc44zrEQNa3bhfPY0SUa152O1KOWGistixoqTDj+QP6cf17zjqOQU9Xlrb1qRpjNU2sgmGT
ZgP7QSkrezy3fe83AUEMvjyb48hldxhh4WKBNDL6hjDPi860ofzoLC+RITY2Mhn5QQ0PutUUO0Lv
R6RL/H73RJdTBy+4vAtH6M331bDZczJ4TU2QE7L7Hm0XcGkCFJUZNXhEWXWZPEJU7d89zWbkZ1XU
yCOANneFJLx/t7V6lQ8+ZL5un3UxG0QiregrloV+EdD4yrNdbI2mvE08rRzDtfUEvhMFosZQ0CbM
D7nrsdsMGQqfbwaeZCUKVjE1N9sUbEcOeXMWMQPrXnJUKaq2f49Hn4t2wfyGEJ8f/27Se/kOk0YO
wSjJ/aLdSf5EkBot12yjrPEfJ2nw2YOvdjJsiQ0zHHGStO7bNFvi/ThozNw5YgV7Sc2evwnbLZ0P
ufq6CHuR8YStLEv9FsbrUYU3uFxG6Rji4Nwgh43ZvS4FVUMGXbdDUsfFbTuMT58vZalc+/dhXFl2
JnfQWeEaNytfG22p+k+DpzxoCLeR8w+EZQZayDWZ4zNeAySFLZhLMn2jPi6sYJaQ2283gxkCyqWR
hG6Ssf/YlRToAKJljAJTT8gAp5GzdPseB9n8YGYTF9EiwU4Ojr3YeA7LhScvu45nVOPo15yWwVF1
Or1fJbVOdAOuSTG1X5F98Hpt3DgQodsGP7IlRYSSFk1j31SgHdFhVZ5bt1kGVPrFRoQl2iDxMvGs
VjpnDjQnA9u/vL0+UqA0zDXRnGQ7GmKviAfxTos9zT9gPBNFB1WgswDrWBCx9KEI3cU6u04YCY/r
xA1t4PzZyIXV0IWEJ9YQ85z+HRsM9s1trpA2yKPD3Z8ktcGfangYCC/kGfdbJma51Nx2hSwOHdll
mNTzzHzKbb8QsI90QSVVTsw5s6wFXVFvYcigq2AtrrKYT+7tgT8lV5yHeBmEfplzzXZd6+wNUcsM
w07L2BEy3AtV4bE0tFtHNi+rrNuNZqslj8aYm/HOMiFhnJpF8GHZ1M8G0AjZJKFPXvp77BEV9yvO
bT5+cvLIurXMjDvfiignFQzXhPTS77T+/OaRc3vlkH448L5ToS1UdIkBZFgIqrYgAmE1nwU1Guu5
GpLFSOnzlJPXxhh1upmpp84FXcmwBsDjezqTIMNwsQx2z2Hy2JOgavHKsdfn33i2z87ka2TJ7G1n
LnjZPW6qyQ4HBGzEuh76/H5b4uTsDO1XlwBGNrF4dkfgpcib7jy34mUUhNlbtwLidoNdlFp0jdQB
R2ztaGy/ToXWfI/bmBW0w8zKDDeQZqQJgGZMJGX6yTZKy9jLobLaU5J4lAn5kPNV2xUmnMwinLTU
Bl47MblzCC8ZLREOrvMdNiRR8V7FIEk3OY9bfB8R+Q5vhTZm050rY5NGmtPgn3puGmJaUMarBZa8
o2xFdmmUxo2vjzBEXBzvshTL07LUbkva7c6rBZWB4vpSNGQFhlz3fUwHfr+9RXvFEf92TBv7SeNf
poeZarAJCjy0ypAI7IFYOs3i7nKInSElISu6i5uMF7QGjlD4g6YsYDS3c8akHqkJjNNcu9PK2HqJ
pkGcDIFz0huybxzAQJqjMwMnaUNyGXKfkqJ0XzDJzYaw05G3KSTLvxupeRnoLnZgAegjI7GqXZnd
FL1vv6C9NmANxJ69d013ZrqLrAmtJloxzC2rfN7F1aJWP0KAnKM0iS07WEZaFWfHKABhLVvyVnSg
u/yb6zqdPJIe0c0/1ljvqy++OVJwgH8yGxs3Zo71JJmO6HHVfhXRb4uCbpoZeSvVZUS5lSX92QMu
647Sw0uJCme1LYrJpe33dm+lbjD53mwGwsLsgqWotRQFtnQyrgvoepEPSKekQciFmkmRWkgWd+3z
X35kMh8xRKX21aXumCflYu7tsDLo6cFIXmPAqQq83pHCjwIGHkXYdQu3EsJri1ozYqUzm9Ow7Cdu
Vcg8qg6m1ZjPpBW2NulzvjuHsjVG70zkXXGDqKeD5QgqOwbUV9zo0DiYpg12lxPohDCT/QojAAaz
rZfUkn2SuufaKNendMKJDacYh7HfN30qQ4/r5RSFu+oTPWKfhg1aDTBhSqrbGZNuM6TfYOP5txJI
TYAX1qss+q79VSNkjwLZZCUOtankY7dymNbBxJ4K3YL99fJ1rt4135tUkXpmExz1YLGzR4EtCdc7
2PBumP7DmB7tOWXNEQ1ZxJ84IfPbAvMXniwOf5w0oQgNISuD59IRN2f/ZlwHFiMti7gZD5NLEfRl
rfahiTNr2BJayrIH3hn9oN+EkCmgKkjWY9PhnR7i0lBrmJ3Hsr1vZYaQs7fxaH6KJd4a1KoWwkP8
fvE1Cw2cd+iCwUWlvsEYzT6mVUr1Yo8z0Qvu7M0vfaunx3GCtXIfOTWDxMI5cnngfbTz3sW55Uhc
n50+rnbd1jeO3/JXik5SFziILHa9oy24LpORNhK3GpOYt2Tqfhy7oBQ3s5ljxir6ur2hfcrvs4Bj
XJsPXfclGQpdvAL2jWsIw9y8R/+g2ScTxk50xmee5VD3kuZ7KlpTf9Q81o53Qcsl3sMH5qtdPeHV
5Uvcfjcw5QNyJwT4ncFCkxiL2Nk99+Po4zSTSC+mTU9CwmGksfW9vmyuWx8xSdmsgxb3KSvQDFyu
bwx008+NK9fkgLmvQWAnXbB+3y8dLzdN7Plpq1yo58QUguzUzkFC5ho/a8CC9c5e/aI5JpjdMVDW
kZps4EDE2RJhkjxvBx88cBkXk1ct852GsNHkpaot1+C6u13d6VQCJZmHWEU6HT9Wc95bX7ysSMYX
f7YZa0VcU2N02B8zky4V2vbrpYVRcIpz7BxT6GQLK7/bdHw0renRuvcxa0XRRxey28+ptqSgNnSD
9tj8atYRYp8tdv2KBeveuWyyyZDyYPlIdkBopExyQCrmQe5alJDW0DNhC+VC+UJQo4OQYijchUIK
o9y9jyYy+oa3LdBMteT1T0/DFTiEv8+K0dTCgmqmdmIX4hjn+tWb+3fypSLzGQ08SwNYE2vs4KT+
3VZD2q5V+btmLSEv5wwTOzBoxv/UXZjup7rr0+MAVmfd6rlCYJLCdcfP86W+nBu6HxyeybcMMPnm
T4Ulhuam6nT17CONmh+FTTXuow4zjftkNC06/lbG4R5HbhkS8KD9ijINcoXoEZhhRQV8A6zV8L6w
cfHMvZwWxro5CW69waqmDo3cTKNdReg4UEyUVe5dY6/4oozpKA6yoAoCiIiz26orC/3QtkAvN25C
K53hm5lYF+Nc3O16q9WrsEvLFsKOJh8WfBjPZUQqd9CtU1XtEWAAEKKyp2rFo90/zH1h3tC7bL6W
YoQhquETd1dacfpguhX9PLaW5a1NKdUCj4BxOF5RtEDpWelS9115K1tCknYFg5SGGFy3uwTwFZ8Y
zcZtxyrs763p9qibvDPUSvyWMW2Z36bJ0GMopyU25PrQhth3r/HJ0731mJdGdapkhGPpMCfVjgI6
eQClKd9Gw2x/s0Ph02G44qSozCFtaPZ50a5BC8YI17GJvL2fZCwScPDBT2u/BMni8zD3mAW8wyS9
n1ldkJ+U3hcS1OSLhbXWGZZHdyCvvGVLcVtqrdzk7C3d5c6Srv+GVRxRgn2Px5xLG7vYVxIhfFBP
mHACYpBXGXiSuwG4kUkIPoMfbBRXZ9Fi846RTJuuz4ZJoAhubW132wpSLgLPgwnYG9K6ccnboY5N
I425x7HmHqtH+QWLwvjUMtxziooqu9NG+VmDNu3cpA6HUhGVoglS8gvegM+j2y53kz2cTEPcDvE4
scWZKzL/0p3nwCnT5F0BSfOuKLT6aE9D+qDN9RzAzEvuEGtloZXAZNiJujZZ3WTmnrVutY96PrRw
jjt6piO00oASWD6J0Z/PwC891SqZUPd9JjwtsJGRnMjWKQz0ChKcqvNeXS3XvgPXyu7AsiS0vdMY
5rGGaRZSgMYvzP5hh5TMzdl/2sK8y0FuPgPgVo9EJnWPopRzcozR5rLlj4vK7CJqZKdQBZY7eFwo
Pkzqe3ciTguO2ms+GvHXGNPUV9Ei8Tn5eaY/klEQ5UGfR/oX6O/TQWu9YrjLPNd3Djkr5XTgKG86
WFp6zXmI2lYQajx/KZY5f/UJjvSO3Funs/R3ywNb4/LJQB+ZY8/dZU8TKYQVhyR8t4EYoBuBnDbD
7xQ20NFL7IbdQC/8QPbd8NIOGBsF7uRW7+nogJpl6Q+zN7tDmWYRDlRLL97SMTHvobavwAGN5bxN
wK4TZs5prx87RugJc7/payJ0+cuOHOeMWU50Qjn30tEJBieNR8vddWk/cjIs7coOk0ZLzqgihh/D
iOf0juwu4xPIsk4sCIxyoqiJJAwG4VtfImctb0ZyjQu4oyZNA6CdvNrDkYrftMwbbs0SEeHeBT3f
15geonR2Y/M5Seeixvzcqz9JGdcQM0FMfjTCZ40zIWMHnFQ67Cum8bvp+vWvIp5cVWH7xcmFL/Iq
u6R8GKCW3etY9L07EbhbCMgzPU9Yvp6NFVEqxBGzlqGWWW4UYtuazJ9qy/lpZe30sHalJBm8pHLF
snEQt5hj9/i1tlXTHdlH2s9CVta59N3ik4/rwlcNqyJOw/38GXPM5J49QT5RKUUPRWf0T5qn0yRJ
xkR8RWIGSzA1UjEevWqabibYlr8z3Wi+ZF7nhl452IzZemr26DwZBuRfnqOpUQeDlm8JnAz7bey/
a+ONRiHn2XZ4TTRIKSGihekHUcpE1CeRub4I4CyIvk3ZQmKjc0IQSAnEl1SavPNGPd0jaWhu415i
WtJyJClvIhjKw76k9Ia4Igz/yXTz8QsEiBmCMyjhkRe04ue5ggiTJPWpYL94FlpCJU3U3Y+yJbAB
EGrxIMXCJbYCDGkA/jVtcb/AY41IBKDrsIapZzuP0LPXcNFK+xbLl+KABVqV7wduT2XZaK/OkJ9W
3SlRP3szuxHORJB6bfvZiLz2TJKO+bxai3ffaHF917mYiO1Tz00/p3HjP3Oyt391s4OvlK/PYIlR
9tcQUXXamfjMABx/05wpAjlCLgkzW65na66q5wyN31uqWX1xykuLFdRnruBzpDnlg6RMD7Asbg8z
LLh7no4IO7RpA0kKZjfspcsRxXQ166fodDoNBW2AGQOXdlf4rGh4spe/beqg95zcje+wVJYl5FDv
yF1qjCINnTWXqGn9clqQ7w1YmRPJMdxCLVvmzxURPuEIBfCZ8013JMiI+Z8kEx4wTdJ/MdrG/6TH
WvQ1bgsk+o7o12NvRmUbOklDuyl2Sp0B78FxJxlLXxHL2834A+O2/DmH1kH7ONKzh6n2uq8+CM50
47oJZtnmNH+FzjPXuzqhoRZA2c0weDe8VXBcKDCK1jDLBgkVXc/fNurkk5F57cO4yPzRU6ofjujW
Ua9dL93hCWkrIh9FAgiGYdxY6pHS7yvy0Ee95gcro/KdgAI3PdABX5p9FZXG71g3kl85kQzJAcNw
H2DQnqDqe2m1SzthPMnCRFfURMZpHpLi8wAR5C0BHH2CkzTed2VTnAVT86zjlTyF2H9Uv72+lIe+
m9L7lAbYrRgT7bGDZf8KsmLfJ5h3Q5Zz7eZ1reDcBDQNuzP8UaMhrqhlh0/s6MbEF+LVGmv9NjLt
Vj5yLGhAy1ZJXEPTPUTw3siGyKLsK062hX3Kjb7Z+Vi9nkdzNNdQ+Qq/SjxNhn0POv4ZO2HvPFj9
sKOtR4m2MmpvrN5r589wdRdlrLRgSAMLZU97Scizw8m8pSOFozIbyYADvVIq9LMb7XwzRsvOGVN1
M+Sw62uSlMNadPLkpNP0eelohMHwSt80lxFt+nrmB5ab6flR1Ov64qWd8Yjm5ICq191JWP/UbVn3
CGoAsmmL/gZCaPnQcD5g4M700SKts/dxUpHbi5sVDkpm7ARISIwHt+jbcz7W7E39cCSE0vlfrJ3X
juRIlqZfZbD3bFAYFTA7F066CK0zxA0RGYJaGIVRPP1+dM/Z7cxqVO8Ce5dVoeik0eyc//wCZLCv
v50sTx6HVBSXad3MuJI10aebZl21teLcecAvJnICY5n7Z3zEjavGdsstUpH0SiNH+N6Hbs27jphf
ZiXeZ8RpBlZc2Ts8b+WFFaXVnvkVPkj9lB4kEtpNzPAHIdiknY20l7t+on7ELho0mHpqcT+sYfR3
1dhIAp8HJFH7WFTWrVsJjps4VaWBTzB8iwDfLV+FPBhFNE7rjsEk0T+SMZGpR4wHGz+0UaAEdiza
fW4aoOIuLAlntLxrj1IoP2RulxzYilsnjGnFv3LsML6h8FOnw+/8ybBDHSBpR3eawymV+LC7qjKt
e5CXor/NfOGdEaqDiiamO3kFmXK1TRkZ4rzGcLjfYKpCzyDxQXjRmiWDKR1rZlDbuigAUmJs8czF
zDe2xAgioaPGEdKUTykiEbhULoBVCC1yII+tiECKs4a+TagJa3dmDkEdR9UzrkvR1QSGvCuke43u
11lDdUrz2bWK6bE3mJHunNmp8CuEqErHrg+jteGwqy8ZwhWh1ZQvUsPVYajn5UaZXvdKqNgMu2+k
q/SjedfwsDZjpBdvs9Kr77GypjAd0jaIa8O5EEaHK5g2pltetMEJxj6O3U0Wa91TTl1dAKwW1s3E
7OuH1MVwWYDWX3sews+NNAlkCzvE5vJqmpPqtUbO+gFnvzcC9n1n2DSyarE6oANre5Hci5iSPFCx
0WJsrBTu75N9u4xeh6XsYJqBh8sXXLb8p8trkD3pzB5wcU4dA5ZwLh2+i0wlsgtHipfQVl38kLVu
8kBYT3+2IMghqSg1cVXGm1Fp1zkXeT8bdfvldnDjMak9gFnMjGWRJ+yHol+uy9xmNunB+cPNAYPt
QBm6dug6csaCSI/se6Wa8czJm37eWObs7nVqnydZz+6KVi3NXhCCGG/0HiZfQdrISpLQ8Mm12jRi
wO80E8Tb3NjOZZJZIfaV+nOrWhCcVmgfmSmd/nV2Cv0cm2rVB2x6jgyHhWq9wrXl3l0K8wcuLPm7
iRHZjBP50O70TBsnyrvsCmVVF4wc5dMZZcPZ1OZlfIs1AJJl6eBt7ETSeyazybgu/FGrr+22ESLs
TZeNbVxGDAoNa9nFHBnge4PVMtclJ3LY2lQ9t5wh6RtahzJwQXXOdPwFz7j73W2thrJmGrFkHwwJ
jRriY1qdmW2U5CEjs0wLJSbe13mkjc+WjKN3d8p9h70cqOZaU6V8rv3JTclWMimcm6m8SYgrf5fL
zEGKkY/75WHxHsAY6c/4R/5dTZBkVGPQk81pvTxU7ooz4obI2WJ2hR4UcaP2A8ylLUP5dB0At8zX
McLo3XAq5LzP0ix/JPMZA2bQgysJ7/S2sxPElWbh3DBk79yNPUYvnqd5r34NEWlTxLMyqbqb4Weh
5zILTeq4T3YgQcCbkXzUAlH/apib7RfTS37CRkmv8T4cmGF1g9zMOYVCH6cN251DaCtejq1Co9hU
75AbW1LcQAJK1zWvseh27nJW3y6RRX4Xs68T29gaw87glQki22wOIo6mc/ohn2EwPIVAenoRMzA2
o0fN9LzrIaHwpMd1o9tiLtWZXgua2aXrzsDuCCUFv/4hYE2O62NIqQH84aVQzU1R5DLdNqJWZyzW
5WVRcvwZMT29jyJC8TKtr0mzVLZ10dQoGnacut1DS7tI1opy+1e79NMvqG7yO6r6menwpPRNOSft
5yLjPoBhZf5MoH3de5kS/LWEmB+tMZyW8lsvmoCwvfjaGDICTZYMdBNXP4KdRvUkbd+7Y+iXPrD/
PvVAZqhJUs1cDxrzusawfqSPT9RV1JPglfXjizYUw8DBQDx7ahT6BWVy/YSCkrxcpzDtsKuJvQyn
To+sDRM85HcYWdfmNrYRBCWxh2SUoe8upbbpNhMneB2OrfJ+mtb4BIEy+RCYKGBynWroEoTGJi3E
OJ3jTLzsCLygnMIlMrlwsPrZ2WayJ8SxOIBslEGcYDEeoI8omRs6ar5wTNWbe0YpDShKhKLFd/Pb
EaJCHnRO0r/4lV8+GjrOcxyPdW6Gra9cBwOt+Z2cpC5BRg/INBCGKDjQSCjbCcWnyJjvXCED0Neg
xLK4ywrZY50jyqJnCqBNVF6wMx4iyxVb6p75tZvEfCjhT7Qh1F5zomJ0+2vCDjEuLNLxSXP7nkO+
n7OPykje3QF6/WHqPQ/3VNeN73RpL9fS9EFFZt/dIwjvgBngRoXADk9m3NQbbAK8Ay70rAq7SQYS
MRPdA5KJwRXiEfngvDTDRY+h4UeUEv5YgGFeejKaqgvwD7yR3WWeMB6d4AlDIpswlfYWPxCzZEpE
SUW8UNqI6yTqrG/HiEFcxtmPPlru622ikVuGinp46xyqOFTh1TnmUDFRLjbGkZuFIdtPQdTHK6MB
F/WVLNJtP9VzfkfDCug3JVm3R9BiPsWNPpVbqegQq3EoL5i+RvQoTkQZMSXDD5qg7tLstUM6UMcV
UtBdMTC/jNEkB8Woug/UB95+6AryD3Q1PcD9MJ+8ZbDuUCz9RAGoh3ZMGdcNwzWTohqWcxtBFbST
2wwog4zXutCu5pRClPyH5EzZ0afpplUgosEKpNXEj8zay7elHZcvNxb+vRHXfiD1PjmbI7roXS3Z
4zz/x8Sh8WK1JLdc55jQbphK17cVhP/dNI2PeeXP51rc9HtBKYSvOUHu86ZMi+h28DOxbLCx8M7z
nnqS7caaf5ZuS5jUKKwYd9+2JaF2VO6LQr/wtnitDdGDoAVy1WV0WcFbe5KChB9qBygSZMBsdKHl
d+Bl8aUiQOBzrtcWkNqU6KVhiO6H0bHP9JFkeOFUznNu6uocY4PM2FCzdTdpJ8UlzszNrT0mj4Yd
+S9UPYypprTa+oMhLtm/mW03egYPpLqOAUOtYB4a0A0iVKk+Z99JDzA/1Hm+WHBD0rl7g6ERnXd6
ZTTo382JmbIxeW9WbI87kwwkG1DNsOiTGJEEcNLS3ZwWxW4w0JMGyjHzG/w53KtCEasWqC7vtktb
d1f2kspH2UFrBFi7QpuK3L/Q+mfSOvHRNpNrZ1VYgus0tLsKg6MwhXybhmVEBvQOukqahz434bEa
4maDpQ5Gi3hlwSCSEOQJDLmz4nHeRi6EzZ3mG8Vz47t8xEaL9CsLtPPMlOOIEUPddg4wqSmvTdQs
5MFL6FlRE7eXmNC5EKHKyNr34zye4ZAMvA/bf6/AxVD3G6WfkN7pJK/TEmmfhTmo5xpYie7OG+qr
aSzzIG0XuZs9oLqNlL31Jcyc+thcYvzRSzWcD30qGB8UBjKXIrXJIGrHN6QnYu+rorhaitlJIR9G
ldoLxtz4yxY5NW418urNkkgjl9Fb0jny4E2yvvFUXxKUaDBx04lKE4ySMFEJNDzkf5TGMiwMCcwJ
lM2zLgiG6HARH+vkKe1L5wqH0+bChJlxlzmpeFBJQyPZYsjwUGR8Y4lcK7/IkZbcxgSwEwfs2MP1
IhPzyRCWxqVW6cWka7h2d32fs8M5SwLRrcmegSvYpcssumF/1lmsYFF5sVQXjTNqr50us3MdukCz
ScaRFDw6y73qZEewm+v3h6bTh0OEN2sgvEln1TY6tTny6xyXQ2qDJA28wRkPcQyxZjORMQQIlFkG
mIGCFIR5q445m9ZEj6XRGt8ZgGFIGJ+4bECGQ9FK6yD8ZrzViQI+MPuinfDtpAFlb8972corjLCH
bgegWKCSRG02bkriVz5JHKzRYtbNmdP2L42bYnpHVFIf9JaByhxDMxIOot5ItotjJwGVsIWTBw4i
4yFzeuPOU+byXWuN+VXCUH0jEUN81/Vq1eEMi33Z6O0Cxch3oiDxh/kGi/blwZxJ9yKueO15Ep8B
MfNFWcc/JvLWio3ZmExdfRyD9zVRndtWtmmxhdTUkMvcKW0Pv04xLbJy79ITpMEHoNi4c5DDUbxG
Pefwhokqng3WoB+WpYnArisK3zBTLOgLzB37B0Kjsq0OwOPg6uLvl1ZTWzpLvJpQFwCaDt4V4IWk
pw3s0iQeu74uVVlcpRxjpHxFBcl1Ibm3xrT/ewr3Xyjz+N1QbyInwLMbBujqi/NPVreeNbKFIi3i
4M2se8But9kSF21c2944oh4yO/wEDIMlMmII8i7trnz7+ys4ejD+RpjnElx8Sg2DowOI5Q81Q1YV
URHnbb/HUmOCuoTIfbsgNXrVIWmFVerFZ/TTyx6wOkkQWBjzj5md9xZT3mwLgKLfFfVKMldNlW80
u58vMnjbH7PKm6sSDVAWGMm8XGDIbiyHv79240+Rkbn6cVKlmy6Mfwep0e+3L8PWiWVaT/sicscP
jXTY5372rVsbBw53o0pcekOL8GFBU2I2r5GDI94B6kttB+OEX+W/cTEy/vI4fbQtwrLEqpHlgv64
l4xrgb7RX+9O82NP9CthiWk0HLxq0o3H+pg/lEbOOq7FXvXVWYFtRLIGAkKomIw/VVcZ3UXre+tM
2M8Zvls9TP0rowXoOIudoXhIdDTIcPVW+sq/uaOM8Lhnv60H31jtV12c1TzLc7316/+0JOlsi0RG
jEQx64jewK/75QyFNOHKeFIBzSVT1T0OZed/Uyw3DwyHquh8ws8cqpuTwuSw8B4amTVRQOtDnV3C
mKxfDdNJyjPmqwK2Xstg5MOayJeCxeMnX8QfM8NlsjhC5cHJGr5IMqkwhiRItT4RvrVJkR0QpuPg
ZB66bW3dUl5632lsaoe8rQwapURDdIG3Pxmkfn+JqMEqwm7o7HlD/PpPIWt5PjHP6jaFmVjmNkJI
+GVJ8yun1at/yYdkBKd/ImAp3wycWR21DU36HXoinPVbzDy6eLqAfubfVJm3xED7ymvz5w4WeBaS
eKVXt/YQ95/ZMDBlJ74W9lnkGOZmbmwLLovM+ZweE576DBOG1RpAzjCwWkW++VmTrKIKU1v4fov+
GhWoKlgcKifK+8xOEqgC8FpgGHRaojnnZN4nGWQtmHibE6vU8vxZ35PVK4tQZOVyheJ2uZwIpU02
BWYKbrjYoPqBz2mF47lwz6U7xgtm/Uyg8nKo9lWKTQiYbA/Vlu2ulz+YpqxKjSplaUrZcW3ZGAkO
EVHq+Afo9UpcmnHVKLHXd7m4E7HEmwUfDApH8uUxwutwsqDq3+CCMq2GtCvfhl/Gb7PxqZh2tpE3
r3Y0UQJAu+o+9dqBmzCLlSLPgoPdF49gwiH87knfUThxpxA7cgcHNLcMqKP1+9eKId7qQF6vVACO
uGP8m9UfZYruYkIO0t36VW5010e6aErmZF2yY0HhYua0alPyOOPnT5S99qhH0XwawtDtZjgDg7SM
R2x9sMzVk6JU+4iXIu43ONeToVyNM+wsSBzsKlSYXDcpexAmlrGB3Vqh0nb2OAVENdnHk+EjZTBq
45MBBlyFiughkBzf0aOrMpXu2YS2aTwQLZcuQdQ6fRzqjjF8kAFZgPhFi37AF+FxJjXsKh/mPA+l
SVN5W1jeMGyRLDv1Dj4YWgWepnYbZ10x7ad4TvYWo3U2w260b5wpgmZhDY53GUUITEZ0sni2wiKK
t9XxRQak5zanKEH0fcKc55yPtdzZREguG1wELTNANwqxbWRGZLYKwiD6jLKQoZ5wZocWyoK3HP6N
sW+WBXoGMXGwYhk3YFqsRxkPX3n6mGzNcVY1pvkVJDdUacQ3kZmClCBmzZzhVpAAc8u2K3BDiAm/
C2Vhmixws/XvSmsVs5ErDtyJMQCWTHO1UqKOTJaTmKhTIwPhCTrrQECTUjDV1AI1sSkhuICzi2Et
AMyWIUQ67lHccl1Mi+hhiriQ0II6mLhhV64vczlrtXM/VWA2EbSM89M1cyGse50vMvYzOz4FpQXL
xp95owMs/rX0nFiL+QeSjL7eY2MCs905csq9xug+G5vwoc04lvbBwIF3K4E+P2pI95u88tr3NRVk
ChZPd8n5aVrZ7LzVBP3sxN8ZVFvne40UvHrv26m8d0vDirZZtSzvWcoWtHdy2wEYxgC4245Gi8mg
YgWi58pF+YLFYCpCrwQy3RTScHdVgZkISQLMmzfD0mL9guq4CCEK6u22NbTpsxQYm0LVyKxzF9pI
TJpCPqughOkqf8Apkj4/MztEUFvyzkDie0ZMZXOtsXjlRkdqdOuasQGoDoMFubSddJ91pJIn2ROi
FPSNZp3rEzkf5+JI40P2w6qZPYv95EQsTgfe6wDfs3E66OacXsGYHb8GjgEnhMoWaUE6jE23jayc
XA99gkl85i+ta260IcIiCXtn2hPdmgBaG56qrtc18n2H+JwbrSVMZ1vG5qA/4r8ysYvT5pH0p4l6
k3nNzBUjXYSS35c86ONvSQYNxrZLBwjfN84hF+qL13f7pRadCo00ioC3OCYvzaT1SlwmwDv++xQw
HXacPklWvpzZsWtUxwU4H4UIJ/WBQ6Li3iMGiG2hsa5H/LqTm9jKaAwz/NKT7ZEW2dZrvhVWMSla
q9i5g6gwXNlGC10oX6KLGcPiz+PxZjaRizAAuEQy5E7YcXuVmpzoTtwFKHlwhcOLjXzMEcTf9Bc2
9qHIdCaxuVncFb5objHPMX+cZHs+B0gXMIhzFEiFGUXbpRDleFZCMmKkBJIPEbMteT/w7UTEpHLa
mwfmuMAD7ADwKDy3qMPT+TXDb9sXrfC+u6X3IIsAllyAJWqHajBpNs0kc8MBU4Tv1qzsQ7fS1WTZ
s0nFJBoWW6wX8nTTwLKEPpQYmMnASRdFqJv0gSCZoAP04/oPux/rLxzGbBRJcz7+nFKdiZEZ6RAL
xyOj3HVb541UHKeG+BmX7yx/FfTkCD6BikTdxQDx3WcQH5fbBF7c7ZHIbnIe5zvALq0MOl0Ye/ik
1jNEmOwWrNFB2Tdm/mUOG7/e0NSpN+FiE4QpaTx8UBJGKS4o+KHsJNggehmnhAqp3DL32X0shwac
+V16V44j5UPRONYZjwVWo3fc93pG0KyeVSkz1oPxCPHNffdKoLJtYsyrNOnIaiYIkPXJMlZvc0qD
J3BLIVzSH9xoU5KlYnzgS5XXB3gOFTpIKF/NOVo3BffC5HBq7fy+M5d+2hheq+48P4Jb1k/J+iqA
4JuBlQ/TS6vhWgjPbRKv3pEVSgIj7wbMWi6X0FUilzI3n4bNXCfGVtBDvg1gZY9L2qShnSKw2Ixl
7V86zjRWQZPXjvXYWTo3xVj1kOhlIvk+Qw18chJMt1bbKTVdEcAk0Ebm6AKgdGCYFdLxDEw8B8Rk
4Gtk8WyNZojMMzgbELIbkqLufLutQ2tyqmvNMqbLUvNjHblygVJQOl4376Czdfth4Q9sumnKrlTE
qtggfREjw8xV83A6LGO9XauZtY7Bt2d+BjMpvyv0KumtL8a6CPN+his7MWWsQ/gNMELmIoOyU4jZ
ZTgK+TcPkapMWKnTelo7Dtx+fEQYV7h7ZhI+dDTya7uDA27o7Qxklpd9jexq0zdJ0x7a0ojDiSYb
TSghAUZxjVumW3zEhEPt23ZBJOlCFv06CVE00ei3M0mGPasKyvKotTwgRHvcKYQvnKa46ee3kMao
yAlul5vJmksvhGGVa8Rvzd7ZMkKOCfOmUuZPrDdZVRloIWPfMRkSjIfR52xozVjD0MnkVk9cQHmM
2O2viRKZgDtjai/jOrFvbQwl7weZZ9N2IlD0+rQZVH0DQTdOIKfh4RTtm7Vr82Kt/YmwL3GuXcbA
e91WbDAnArJKy/zgiJXINDL+CBQME0Ukj8lR7InJ+qxavz5w0vj5HiY9dZpn2ah+3LilBvulWVks
hss1kVe3p/rWPulfjnpGq4MbGBSYmouzUdcVZXGG0mfrj+4C6GR13TvaKu4gkXea3IpJqCIY3ARJ
W5MsOk8XlgWpOgutAF4p7Lyxwk54R6tkndkjauOrk9xl4JV4VSxSXH60qYvOG+HnTQihm+4Eek/8
UzJB98/YvMxHBrHIXhC4rgW6abAJCHtgRpNWwAl7Y0Crz9hzzOMwMbx+fs1x+p+gJ626nrZauA0W
WBM36qhQxU9uLaTzVSUuW3wDw0WssrXG5PHs9PX70QGssmtiNecvXuXE2pYuU64NErTqJ33bODzZ
bmtrYoMTSqJTKyao+jRrNMQHLC345k2DcCkaYLyGzlHIGom1f5jqVYLQFjVsdvwVnL1zLADGo5Kt
6AZ4/IJJ2qs2Sz5rgp5XHMqjonHxYTU70qQTIDsPxfTRXWjsJY9eeDH3e0hXgrFHQw1B+KhdGZq1
0cpid20/Oqv7PDGJ2Yfr6qE2PC7FVYKn6Z+EIDJyWbSlamJsi9L1Vx5VbXVDWtK1T71RIgmMKBYP
EEZoTLJWo8p0EqvSQhISUo3hhGy1B7vjkH4AqOfvYnKUisc8mtjaBlznpp25CAoCmykNlkTeWLA+
DSN3qiCRrS3CIjE1AHkaMe28Ne3EOGudhPc3QaTQbgeLkueKjoV/n7ZcLBFXFnOf+Jctq7q7LqW7
ukXMupGmd76ajl5U+SophnhlZDuUAP3rsTQ+rSVPK9tiH6umyV5wPGKd2G1G3yArPI9elqRD0dVN
tFU7m10VDvRxRUXewP+BqEjrGDvAk4FjrtK604o6qUdPujjmPTx50s24TDpf/UY4iOyQzlBR9O9G
ZsCcoOnxx4LZoRP7H1VJ1POL2drw6tmZoMZPqAJwvaHxqHoZyG5BvNkdHQv0DoDo9iRT9RlOMrOf
UirnrEYFFLJeVvsCAkyS/nwG/bL2CMkQh5pHNXY9dhDW4qnv4DitG4JHfce7DT8IcRwuhfxlp+P3
NCbF6VbHyBW9NplC6AxKAMpdIxETnemQzvMLOF6afFaQqVEZWk0Rb4m/NpgwYeXUM0Mek522xCb+
AW0Sq2eG/sZjRGABk+ocE8FLz4uaam9TFZJcgXDlhroXLhQAU0FvXkxPCkz9VcAkukJByR09yvkY
4HIdlmD6tIuPKh8i97Ba9iu93Fp5VYQKrvTX4ljF+UhPngWOX0OIq5yk2iJ6MSggvSxlCun3TJcd
V9HSV5A0zxUcdiNsaYaTm3FACBFKgPfuwrTf4m50tA0mxvEXZHXzIcKiSIX1pHhl5lQZ6dbXlu5F
ny22GAxcWasWqYVDsAykif2ElBPdLS7DCYD0yf7GUIYtsqsNlg+caf6t+xVbV0P+D1qOWgkKczQb
49cM2lRvJ2b63XWB/Dc8edvaTCg4mMF8sBg4im8rYXPBDNh4/+c0BWhRptmtxADeeYJ8+Uxw/GVy
U7QZiyVn1ntPAw8k0kNJQYfYiir7NqIWT06FOhUnowQ1EhWU4y2AAIQRgeC5g7d+QCRgEF8YpjXn
K/1wehvHYxRksyr1dIjA9InrfHKTxtkyI6CZGso7KNX88ElZiclz9wknFiUoIxR652RBARAcq3bz
mHB9urnloqMPN1XaP5gSKGPT2lQPAVtzld5FVcI7rhmrxH5p0km7jsVSNdsIfXCzZT5b5SFij+5z
7Cxe2kxPEvHYGKAFd17rrNfi6qtXIz5zDfTGLkUKtPHzNNae60VE2uNq1je9xGmPckk0mZyvoNnE
zd3MQ82/yor7tEX7u74jqKeaTad6NV2DJOsPul1XL6gK19tFAQDY56CsfkANOOSha1fuPTZrZKa3
DgaV2whCbBpYiSytwEJR0QVRY+jY4AxVdAknst9ZuExdxTmOAzs9nyN3e0Jje87TbN8bbTLsMyfD
AgNgngIob2f1cxG+2V3gPMd+Zkw5d8zPLTaXk4D81CedoJyaQij71ie1Pi29m1hKIGc8M7IiR/nD
ot8XV6d3jgRsDD+OANXYlqyczkKvdPIFGI8q8arCX2FraoL6tThKedBV8XBzQJckPK19/Ygd+qVL
8SGPj9Rgfh1x2Kx9JNZryHrqgn0itGiDykCZ2vrWMzBBRVOsMuXsKLk9HpIncwRgOVbG6d9oHtiy
sEdZF3+F/d0jE4lYh98OQfmQ9r0V31eJb+u4meMLeON2PWIGTGbwen8YSNPBLIIXOLqILcGSPi0x
v17YH7KaiMFfa4WkWo6HbpQDKm+wX76aie4zKnnf8dRdRcJHGCoRDp/qpNcao4hPJREkkak8Ouox
nlZ54Okt1I/73JLonBxsmqm5aepkaU6Q/v9vr7D9V339Xn51/7n+4g9QozaNk/6//vO3/7pKP5gS
19/9n9/12w91/3X8cvxVh+/9+2//scUCs5/vhq92vv/qILcd/8Cv7/y//eJ/fB1/y+PcfP3P//H+
Wa6kYJQR6Uf/uxWY6zBN+RtDMRRcyWoH9h+PX3B4euCFr+5f/IZfZmJ0Lv/bPQx/vX8IC/ssXxjk
0tv4gP23e5jr/YPJgwGvy7HXkJ91+vDLPcz2/4Gzk8OgyrZ0l1A68//FPez35Ae40ut4Q4fGa6HJ
9tdf9tuUQ+ayrGlT/ZeTOzymgmyv05C56v40o/mne/MvrLH+mAzhEwbZCQNrEwsntGxYgv3+94x4
JuTXEMaTdZQbL0Y5YfLSTuPaS7RVLBjPZm6Jvu1oYhmdwmJ9nMynt3kkYOW8Ablj/rM4TrJsEHuw
nTOrZCuaM5IPz117QcFelTbndbr066FEEjQK+r//IKb+x51zPWFYPAbDxG4CAuOf+RWt1oDeoEl5
Nkp6zQSss+Sm5em6fZ/aMZTQbF4GHjVA3rJgIzgdKsK1wC/qpFqLznS1EThZRfRNR1F2Utn/Klno
2DH6TSx+T3XslBAfUFE6sK8JiBVLkd5RvSflp2/MVLV6ZQKvV+a88r0jB/zfxg5lOK+XZtZ30/HU
P22dJ1hfQnVJQnyy2AUnVqKRhoU9rN6Rk6gplk5n9NFvIwJbdl6AW+Z8l8SwfTdLC+gGeNWx5w3H
HtM59gnd2lGEqTcjMMeIgW6OfpOnVAPQiAP+LNygmTHvADJCsXCBjoV9+rTrT7Ond9fY0/OdxhTz
U4CbbMh6CyR08Aq7xemfqi2BUVJh/DK2OAulMM26awpBuXwmjRHlROeu5uanp3A6rYySfPbzk+cC
g8/VJpcsEcE1eC4GPsvx90+IQJlgdCkNVeS6qyJY0PBdpUdPvcxp2K7x1ehQ0csRL3EiWes+WQJ4
fB2WnDX2BnwQfaCSOq2DDNNlONrHON/OtJdJhPpiU5NDn05Mzs0mJbZpm4me5Y9NraPuT2e0HLGf
wgPTHLiJKI+bzN4asZy0h9OdKz00vLT3wlb3M1A7bs9aW/Lq4iTCCaIPM1ciBh+nGihHOuWknAk5
3zFFUMYWM5rCc4OyQhR2Vw8ND3YqPFYamKLLWyWNiE9NeLJaLzFqIurvGepufdk5RcbVd8XMg0tc
nfeqhI7HgjmZPBGPd7zu4zuK6II2rHFr1mrikap+TdMw5M+TY8VZFrg9uANWKh7PZthiB45HaJDW
LdynAO9Yf3o3j1Zi5WRF6i2rJ1oixlTkMb/bZm1ol3M1s/SUGfX5s6YI6NqfJMcuHTibwvEty5EM
+YR2j8XYP/puigi79hGFXWmkDON/exyBlJnFakTlz91sykZAdGMQy1M+RaU3dtkuH5DldXXr2T1t
lVZaq60vSpTVB/xUwqve4d3D95Dd6dQDnnJKZduwnE7Ovaj018QXGIzUMIAHrOmmYoB+rvs0XhCc
HJsvsDOsaQswbvkYIzma8ic5tBPP4vS+/vrBuWHREMrIIk4sDZdfAt146igkm9cZl3k2F1N2PUvW
jtfUAl3zhzRI0Wu2b2Ouk3ft64Zitrsa3zwtRwQpyup1m8rB9vYnU3mMjsC/q+Mi+fst9C8bqE3M
h3BxRtVX98g/jStV2UyFL/X6B+4BKjvvV4Pl8xzlVXRhKDc1/g3FZOVA/J95/nryWFBLXAL7TItd
+88/J31YLaKtmx/6gCpgq9DrtgctTluJMBNXnL1vMXL8/PvPaKxMh9//qmtjHYrZJ3/fEM4f9q+8
s6luYjjx1Aq5+mHjhENjGxi4t8xhUePXASyEC9f3okvNnFGaJhI3RuBjqGubheFOQi7Cmqb9DasA
1vNWM5YEbLZndJTe/ZurXa/m96v1MPVh3KDDfHD+8kjIRcaIT1jeExM/tzgHRBXiiUi9MoOCvh5j
LSYdMt5iJjctbCN9NBwwheeNMC2s89Wp6KQYpFb7F9WCuVYDv12PcPE15ZXgshgU/JlvN9Qa9C38
v3/8SmTI3VRLs4BdEb3Zxowzzr/Bg1iPV1k1sg1CWUswZNn0KCTYwY5dSZEQiIOYhfYb3Ievlp9A
zR4vOaeKmhGlZghzN/ytucORMHOH7JUyGlNH3uy8Bc5CeUdlYfMQeOn//pb/5SWAY2KbhgPmiSjT
s/+oh+B+RxJpmPnUKXSET3Y1+TA1UM0njEanJJ2//v7v/WU9OrorTNt0YVWgpfwLU6hMkJGKSX9C
V9+NcIPSWpQ3FvQN5uF//6eAZ/98fK5JkUcd6zAdNImp5+v/RKHB9s7OK2x+HptxtkdzK0d98sT3
jMcXLFXZrDYQRAVyMEjIRPmV7DPAhdHoOf0jxpotQrFqGbrhXKk2HrSgPe6lNdLH8RAtVu+/y0Kw
PQkSeXALShDuV3jpjVg3PtDZTUgN+46Tb5OdrIgWVS53hFJH9X113PMJDLHQpKnep0/eSdFn7t7S
0GFj6WJIDFxM5e5jbbamTVyipTjIHuf3PFD4wFDFkExDyfQrRidr8eno9lKllD+nYxw3CHYzF40w
xH8Q0GzbKI3MvBA9kVbbTwJ9J3bbceVS0UCyZ/v2uhzvkhscvqi/qJ9HTqzRnYXmnjcz2KsbDPVK
D0lBAbSHTgmqo18BOdSA+Icd/0/M1UrVBqlZjDDPp3TJmxbHILkifSQQYdm0j31vzZSQJbQ/TDcd
BRR+N1q0dMnZUPWO/TLrNk5VH9Ll8dTb5RjL6yjC0X7ZYmKg3rxmuICg4SwYkXr6xYzvHpX6bHPm
Wy5o6TfKAg5XA20pNVqhZeWn3ZR83NPZSp/dLCOaIrDiOuDlGzkftZEUp+tT2S50tfAJOKQsznfL
5WDS8Zc1b4zap0iBCInvxkE06QpD0OSvnh0YweAqB7Fx/cOF0fAKnyKAvGhe8znJ0+KoPln4mbnw
/BvCMQUpUTF+CuUO2zweruc2VBezG6+m9FNJuM8nOi7cY5ZT/LBB1gj11inSuD/VRcDV1GC/zmc8
1+KJFM61ICvt/8XceTQ5rmRZ+q+MzR5tUA6xmA01gwzFEJkRG1hKaOFwCAd+fX8ga3oqX0+/sjab
xezKXmUmSQj36/ee852Ur3/7xGZQfHoPpeco0z4L15Uxqm9BTfF/SCfwhIdbHX1L8zFNF/3IHueU
IZ7dPDaqUz7heUWQYvdLDtfUcLN/CpOG/YnwsyW4xlElaSkHQaOKZSuADFo+OLUzVHp/+6cBU5k4
GpA7NZKOq8lQHXfA9bgy6ZAW7pq5YW6gXgvpvPebOUVcZG//xfrg/CmxY0vmbE0svGDIRIvWMv+y
OY5Mpj2kQO07TFOpX0bC6YCglrRWVyPj2PZ3dxMflWZNgXtL0FD2tT2IEbqDX8XbUecrS6CzyHax
EZeV3viSbtSnHxpsSzc1knGN8sP2w2MzeLG1pBOg0q6OyrEm79E3iKym/+13zdFNYRGsEKsvzyFc
QB4B9gi2DAB4Gb51Unw4lKThkJc/8fNxa+nZ0ousTRLA95x/JNtj0Uo3fijdaLCe+z5gCkY8TDUk
yEij/pqK0aNEtvdFmSHv3YRLxp2/174oxxAnZmVqMox5JagIR8dksP9WOXQ/y4fiFkihCzpC1v2Q
mHaY30dXZlZUuLxyOGAXYmFA49w9WpHJ6nOrEAfmeojHWvrMJ4JIIkKf2pL7c0e+7tLGose8ZOcg
emyz/gHwHVz9g6qHJXCRo3BbvpmDGjIGZr3VUThJrcrAe0g4O9QFeTe0x2h2V2mKqSwT1lzTpW9y
OmOJokG89boQTVIyo/2l0Mu5quEcc6RniperTTTDGb6zJrrapwGPDgfZxGSNG3qs6ywHQIvT3W1h
A05auGtZYcxN4MqgAGL0pZZvmY145bYzU03CmK4HNpsXA7ZBLrq+PiSxWNqVo0ObrbIZED/BDKih
Uvds9Lzn7BzZbzWCTH7WSU5VaqWFM+Tr2krc5NWLXJm8OYTPyi0KZn4R8i+LXn2Wc9vTvpjz1yKb
pXUMwVKFT1xFJPOMaWvIRZHbuukW4wl+Ya8hNHx1Q32BYmA5wVbDj+j8hpNRwMrH6d40rC3Y0ans
9n0qkJJh1coNChZyAZnO3wvAACm6LBb8+W00GJus6ihKrK8GZVi+qekdExqhOwmYde1D+AX12OEW
rf6VSjb8azkBv54WEmxWQg6Qibh/eYMnVSHadjPnFX5WIPwTcfPgTkxRGW4//ExmjqxpwbqK8f0F
sEWr4h3xDTybSDsy/Vb3GLiOdqY8fpy+dtzVTK92c/tDVjNpfvxsmmRiz8tp97VxS4Yj+L4ycYFp
q/MHOfgsmYgpKKLHLObRMpdh9XM3O9xwKD2h8YvjZEYOUzqE45uZLUJHbZJz8mzWC++3DSc2isRp
cu/r7dSYZTF3Q1w31FhBebiTgc8h6fZfIsPgphepzVHJIrFKf6rJXO5hrxzK0ioG/i7Bjo2+e8FN
N/vfKmouTNSVGIcAwDZlzrhNeo6Kdyi2QIBjElFL5gOwHt7SqIWZ+kW2Hv+7n/2lsikxz3Hu7lRm
U3BIK+9ZngQqQF52RY+AXena/erZqPnjEZjOj1v7owfLg6hrcOkXRNZM4+m2qvEmsjkA5qBqh9bD
5tzYvOj/6ELQ3KDaXQWxnCidDbiFrEy3dnW43IF6G3UBC+EwI2A5xb5Vuf5KzoLtGXsTcRvmKm5g
RL4AqViGktr20n5aCVxOw7TvE0aipLta3tI2SRJZISQjpmSKaa8wGm9XfU0yxk98VX69MdJk6u4a
hRDkOz6NWX7PZoKaCIxl2VynaC+hVlc8RNbJH5vWwlldg/sk3EPj232zQC3qt8hDnbcL85hlyPMi
LkNUWcux4NYIq689n8m2eBAMO+X2EogLHxn//oQHC4FT83brEd0m4njvlyfzFmqNlXyJ/qNgWGot
u7D4JBkvia23L23Z/bKwx9yZ/L437aXKY7+iP6ktTvi3DfwWHDbWNskzqLH65YJL1h5yhZIxoY5q
wVymz15tlq314FRY0X7zInEma3q/15993Xo8QTpPl6KgVWIJDiyh8Cydrna0WM6LyuCWleGizBuj
hhHkWrQoauhBKJoWbQ/Lut62lO0ku2hfmUb5ZcwVb0uQwLh3wdQtzPaghgZXE/x4PVbZU7w8mSPO
38z9Tm2TNCMhjQQ7l5vZmXwK1luXjsAxf8peUJ/R9V6nTrYkt/lx1Rsvs9UvrUeW12V3gkWMfRY5
x/TVlEKHx5xmFxlW13bI7M4kPKAmD+101xJJxz9ioRXkHZr0GBOqQ7fbRNcNVon5SIPvP29Ca8v+
l2Ub6Nis9Q3kKfokxswyPsG7KR+Vk6ryaYjIMb/X2kqk+S/OQu6fAQVuQDBBGPiwS0BtmS5pPH8e
hawQznGbLP5bYwxmvcrtKvHOXH4OP36esJL4HQLZggZYgE9ccCYsozW9KChBWLNBWI5YcnJk7UGI
4/mVdJh0fjTkaIl93TFzPppVN+MB0pWkGmfOnjXzOuBe5l+iRnLfRdnPFzJDbfupqYBIf+nBMga/
7KHyf/SynAFYREbXZJc+tfjAlet3vex2yqxbe+NUhOrt/JpEvvXA69tfbNNs5YE6krfScD0qq2Ie
PAqha5saWlAU/nDK3M+waxVLBZ/BLeHsjo8gxur696Wk+M+XlxmK5QrXE4j7aRb8eXnT2G9pXxfd
WzB4ATFtOWsDVT/E2KVomwvET+U/WtU66Xz9mZTobu7LawhDRSCxd0fgEu1XpysRS02pSRFyG1H4
/sBDjwyPZ9NomNnHhyIfWSfYXZc1IIsLys0+ChruXqEhK8CxwGlX/GoLT5Bz6UTkoh0k7AteoSwr
SPCSLlbpx6yx+TfNawlRGkguWtrC1Ozv6N9HIEQlhiFWqFuHcMhN6qUQ93CwYneMk72VJkufHaAD
A3QSWMSBMFk6mAndSQYOdc9DHreIxx7RYnjz8XYsSYslPwEOO7XZrXrJsXgyUEk652Iy28aW9vc3
58+AGjegwcfMJ8BVFYa2L8RfugBTWcZoXEL7FVRB0TL8naC+0q9Olrb/TYNAfg1fgeZ05fn/4tGg
n/hnFyJgIC+wczEjCmzP8+zFrPRPXQgzivNqpKv2BFGGeuxgwavycvuI67Uv3O5EhBRwjfK5ZmGa
bPxxqirhcVO8hbM5IUhSnZNEr0RpkEYuV36UoLb5QAeO++9p9GU8Dg59J0RX9mtGLHbrffNKWsrB
BVsOv/TDZ6otXbXycNnTVBpvTXbwuRI4SAMh4yvxcNZ8cWTeSuvOKiuay+hSLNZ7+GhFctaJnLv1
mFe288KwwZD3t6TiFBwPz9F1rI0ziHqhiR0DbkEfKhZYyA0LDJXG78jhGLUBi01v9Ry+83SgKrjp
pDQea2jDql2WCsgX5c/JYyS0Fct0cl/b87JJ33LBkfK4IJF7NFsoTFoQc/dpZbrlVnPjgG1fNUcj
7RIKrAqVLjvZ9bA7Eq/kHiOMdZiE2iVRWM/YLY/VkFE9xbh4ePbpa3aMIIyRUDIEc+yV9MX4C2a2
YFWdZGJXnq+lHWlYjNoKlV8BnaXJvwGFhyVIJj4r3T+2hSyO2OhQeix6jSye+LwwpL4m7naa2QZq
NXPBxC3X0Zn7NjV37KfLLKWQCZs/5RWVw5Bn7Xx0klGEW6tErPmFiATP3reTsvjWRYJHt9skiknq
C1hcVlCI5OFovvTIBHrCKaRkLUFjnGWHWFpTH6+iEE7msUPpAvXwuiVFpI/kb2znvo627piObPs8
nEv+pFXVipVlTk3L/apiNZAXFowD5amR9CpYI8iZ60sfcAm3CAUXl37VxFyM2OqxByAwT4sXIs/g
vSNniO2nWwcn9xsencmyPImHgBF3Nb/fFqTaKzruuOqHpZxpYKIxsqkDqkUdWmZ+xI3fo4XvRlYf
EJ+8xG6FYDEDby3MYPxMU7X0Yv6R6+3MRZ39jp2lppphdzA2int6fUYTL7tCUuMUSbeTqt3wC/ls
9LlziegNyrwKWaKycUGzd1cL0e1nVXQ4hkspHcEDN3fU3TUqqek7wGlG7CuX+L78Po54EXe3v5CX
3fLvmQSkDhfMEVTdQg4skXHfI1nsMw8hnefAMrqUkCD5UsCxqUo4r1UUQsJOeRZuDRzqdp5dYWa8
MPx77AvTdcZ1UxjBtYnUukPxmyBH7JYGYWnwmcDqqDodofxi39WNb4JXUDyNphGP0QELvDusPCfn
KZk6zSua6Sqj+gvxqKfPt1U+wJrMl+CMOH9vu6rJluB4DEjfczey6xMnX8M59F3Lj749CZKuM5Ll
a0hK0Mulcc15m5cDqfnyOBWd4Do0ty2svL1JIGOipStukWewC2q2yJXZTNcSXUXLmD403KXQIqii
RI3oDVy9W4fTRN4eHD3afeI5D3DVf/XqFLzC6vbWthq61uctO1vYzIQfqzDUT0Smcyd7GfJagFtZ
+MEpPn3vjnYol2fC+je+3crpNptt+f0275Smw6HNNrvlKyGyY3zLlCXmwYvyocUtZ2N5oGQhkGEc
NzSL5w70OCf718EkzmXdCOF+jzownqR4N0ilSg/vVmUHq5ID/B4ru/8C0X6+KwfL/jDo2NY7pve4
er20S9d40jpgcb2wPjUPzpJs7R85UGT5vsvwlm+wWE37hYRUbui/z8OaRlTVrquYWL91VZlY0FPM
8BwIDB/kVGOPXe+8p2EvG/Mb3JtxebgL+4XvFTsHL87qLXE7ouD8VjEuO3LGdYotze167am5LBkn
Lp0FE880dEW2wvEBTbOfrSUBjMlJN0mydVXV7pLGk/ATCotxDh3U1tpIKqqHJVrXeRRmar2WOdXT
zs4M8wMnlDhXc9y+YqyS53zU+nnqem9eK+ktHbu4G39aHHnLbUSjygVrVvUnB9zDL1PlTbE1WQRQ
po0sf6u0DLMvli+tcteR+EyDajAqTK+x0eEjKoFSbHsedwcBop7Pi8L5UU5e/uTaynj106CA9xLR
XS44m8UQbViMDlHtji9520/JVyLkF/caHuhLMKPFPScwnu9rsKf+s5vMNj642mGK0Blue4rryALt
0rrw2GZe5XbDIXN8LOFWgOdiCDRs7HEU7R43XP5hemX9qYzRyTcx0v/isyHuzNl2vHvRw1g30l3H
TpNOH5Uxi68WOUvuXkEasuEWdVG8LoVZ3JlWn8iLw/JrrsbQeUMtn734oPGDjVWPDK+a3PaTUz+O
hAxVc6dfDFFgNFYeyTtbFWr5De+j3kq36egPGhPcDytUqwzuO+ceLMGPNLxMsJOsxwXhX9okWUQY
xyG2fXUoVZdGYPD7/FPmqXNkRY+3THOktx5ywXGNXHgPETwn+wtFejMhzm84mW0YYDdwP8rGf9OJ
WxHp2TXpjuUQ8qye0+isTQ2sUhD84zIgjKKjC6ysvjgcgIZtnNnxenbBgRiqCoI9gHjd3OkxssI3
HgKfrSss9WOcuNo/FkU/wOkWNIFWs7TNDZ6x/GvU+bnPTlAlp8LMEoW5fmDLtnrjnNgqCvdtqGiw
tcIM+XJiOFhE4DbfctMaH8M48TFrEdd+QDrrVe9kCIPmHcahzrdW4SXRHeHyC2iiRmrFW0thvWBh
cI9Bfkoe7QEawAo3HSpLq27G35icJMJ03q91xcNurpLYQiNuBhaElbr4Gk3h97rMXJyS8ZDsMnzq
YG97aX4HHZ2eCH+AbzhGSaEg1euwfLYhVXzNeWDvW5Sfaj3Xk0eOjuNdZNiDhcUgraEQlyVxlnki
rW1R2vVB4lr+qEvIWWjkvHtqMcFwas6TdEsXwtHrwZfFwrSd45MqHPg7HNTJREA8ULSvbEW4RYi9
iFcirKp4B7tD43tyrG1pB+09nK3smcZ1N0MjsswzinQYhcRXuDsuOFCneBRnjirTrsWqlJ1mfJNf
w157BbclK3+ZRl9Sh3hejoOqsTRMoSlZW8MkFEDnNO13tSXtp7wA579WLvS+LB3yh3KRbWo88DGJ
0EG4sIXNGmFPNh0HXpHgmUDztDnSZhPdRsC4SlDsol9J1pNK7XRLXk64xTZNEE8FisUF9J/OwVZU
brsecdodwjgGZJRBDX3rhCDRhJ2JdpBRfFLzX4KxdRMCkHt4p65Qxntuu83bmHnWHfix1HzKO2cp
xSilqn3qQyhvqyH40tflIO96kMUQQhiATeug8ZnXzxHBxJsq9swvZWMEdzOev3IboBK/gCzVwQEl
lHzBCiFQs5nFKQHHezaTOPqVEuqyGALHlrWO2fROtVa9NCXxoPWF5iEKYWxHolMxYKzQe1HA6p77
tIKv5bTOFO6wHKQflH4YBUxHRefZmkrrrqQj/LDMfngCjby6G2rD/N3kKIZZoa3ksU0oQw+Vj1Gq
tKLit7GA5M6CxLkzugW9xKpk75M38uoMpR/ssRjB9rWV4i6nNY2kMXPNk4aS0r/arcTO1dCvSuAC
YKffRARC0eNswQXCLkoD+16E1MFfe0eJJU6IPf8FsFDzInMrdlZpE05fLWLtvgcwySmXi6Lqn2TC
rtA6opSHKtYhXHVCPsBnzjVUuL5DRr9p8S3YC2Z4kgQKBeFDIHnBv3gUBAxZWtAxNbjyQ15OZr4e
a+Tai5NZEx7o6+QdXT8d/SGIqwCHbZUPcmeMkvU0RBu+qe3EGNbKd+TW0UHabH2QUOJXr2QPem8I
PEYPWbAMrIO8f4gsEPgbtFT2mbrUJsfZn+MNlQTvJ42Z5Pfg9crG/Ri01qGjVv3h2iOSdJ7dNFmr
AP+YhQZEUR16ld7axCmid6CyMNdOJ5MDzXaZcmabmKr7kHLsNfMi0tmBtOlH1clA3BEon+wHO1Sv
vRAQjzAZj+2D8NiDa7LYtjIMxAaqUsTn2doy12VHKk5MLssEJTYd6vOIGY+M4jTMugOMHY7CiTN1
p8mIp/bOaZDq3ecK7u+rPargTArtGB8cWuQzZANfl806oTU5AlCGtboKo6x8mLNGdhcmR1342uHP
ocponQtq+MAgc0fDFTupsAYk3DpBY3/xh6Bv1iG2rHmrZBK0d8HkODsVLLAbwzb8x6xsOnkYfCYU
a7tFzrYKqxoyd5EHL4PTj0+SUoioOVSQ2JYLW6LiGPMXmpWWvkuImbGx6jsDs1Aa3gjzQJflLlPv
n/kUxg46tVWH3ded7Xs3c0k1i2/dif/Xsur/UjH9h676vxJf/38pq2be+09tpEXi/Q9B9qIf/1//
86Eevv2Plx91l377U0x9/Xv/O5k5/DcP6bSzWP59x2QE9R/aag9pNYHNS0PQDBB9/VMys+v/m20j
nUYAYzmhx+T5P7TVrvNvrgUzIKSVKEyUh/8tbfWf423UbSYtQ5Rf8C45jKKB+bPx1ADWb6cJ/3Nh
6Qad3dWv42qrBgLkB2dJ+YOTd8gg9/Gl/oXc7c+uGx9uUz6QDI2Yy7JDfuyfHw6Kw4RorPUemLX1
eo2Yihs7OBeO79278Dxg0Xn+3T/do/+LYAv8xh/NtuVjUTNxK+ylFxvS7f7zY+krT1HCuXnv4oUn
JCsm/iRuIXgOtYy/aqJOXuHiRO/sUqxo6ZzxfwtceUZiYWi0W9xkWCFoEJNsjPxnMjPxzW162MRl
V58MJiYP9GB9vQVIhlmo6QQ0rLhuD2GUTJcsVcO8bwMIQ+Zc1ScPDOKePnawCThffhswXzzYYBNo
PvJxaoj0pTDC4KOnq+WcpbBdDE7cGku1ejUU7ISbAp4a1k1cOh7CjhoqB57u8N0rc5asgSFfuRs6
OJHrFrZqjLF3cRYVC4ukNynnCElGIheRPsfwtsuAlfVwpBom6ISGYJeTquXR8K1imLb2kNvvgV9H
7xAT/FcLUbHzPDFdPQl/AQMh6QrfwWunUBMYfJyuRpZOy8VPIkPoEbbCMYphkr6fXRI6EdTocXjc
mkLzFztLX8gIiUDFmqZST03U88sCk4tbj2Z9SnhaM35vaT62tgq3HvIm996/ikrN0seWXzQDP9Fq
mia5c/pa/iBhzWUCV8hxU/IytFs/iZBPzAu/AL2vse6z1HpwF6XM3YiyZDvgQMCySiviKXTMDJKQ
EQA9DdyKTlYxRMRaDQTrcOAzH+B1834UeaUvhBlzlQwfbADjbusBEqZ09pzBPI72ecJHJqLqfrbX
mDrt50AVw3S0H9se2ew6ibAsrhkusrWi8w+fgTG0r9OMtmCz7L2E2VQZ7curPRR9lnO8mRuH2e/E
jy7raXN0yxeUtFOJgwJduFpu20PuTvW+j3rslik0CrXqrvCBnp6FTVimyukWQJ9/VcvlZKYANz+a
mELvDb3YmtoaOvGulqUCrTPAxcWCFWPvs4ORf6v0JD80tLjideC1wbpeeiZmrSdvG5qNh/m+zS3S
jqMxeQRiabnoeccywsTGJPfgevwD91Ux4dJ3hdF4Z9NgCLKlKF3yRK8XjTav+TCChf4wmXoRuRjJ
cJuVS4RQCSHpQsFqv6ZLmAwxh1W9qYymOneu7rDB5YovhvS8APdXxyUUZqcQ3/gxPAuEVHE1OVax
eVdDf8zspD7hkCZp9PbQJ0syaOFA2eDQ4/NxmAD7J/5ASmBSq393mRy+IBzJSXIHFXNK8K8ix8mg
lmjB9+fAnNqvwVRYD4rP2SBON3i4MoNXgTmMfsoEzfie4f/ZTflfsS9pVl7fhRTen1zbdsPXxwUd
fW04R2QP5Gi3h8xAcX5XLRdewcIliXKego2MSJHFR6b1hXiUpQ4bBD+yMYhfoErGw5cbw1C92ENj
rM0BSIl/lXEYHmXiSk4ln+Q5xLoCiJmS6NFWtqU28IT5m5nvOMdZiFgR4DwApK/Qrc7rAWoCK4rJ
oz7TNH/yc2m/NjX0a34j3FM3teojp7DwHSiz+JbhX/4yAk6AyEQtV5yIcIGyU+vqOSYOHdgjOdxb
15AR602OrU4w2Vg7ZgReHF9h6qzI5uU/+1ERIvHPJUYVsvqooQvQWAOBsNfL4xm5+YXTAJoaGkk5
LZkue8xk5+4rEZV7rHfjZrS85AvsoWFdk9hxkYnM100XMlV34mZbNkjrViUBDpsIBAVHwlC1B5HV
0Y9iSuW6tzmgpKAHNopZPEEFcyQPxRCSHFej8XquijbpkK0JaOzmIB5CHTTjJkD9ea85f+3qwuXc
I9mYqhW4sScgE+qT9PPmI7UADHEW5Vm75dgx1DPl7rp1dPg6vQ2xHYtrgFMueskKAuPGJtEenaJw
3G8xYxpEQhDgCb/u2ZiYL/LnUj9rD2aHvGODC0h+QpELzi3CARwrw5LnxTJRn0bkK4pTjcuhG60W
SUmqC7elO7bGpnXcNlz3QtLe1YPST5hZ7PEoiBJ4H0CE0GiXTnBW5XVJWN6F0FUsi2lS8cTrxUi6
m6yZlb1qWCeXJyat4CqtEoyo7rboavF+9UD31sDbn+RILE9ZVnO4SegpS9A5vr7I3IUR7HWUzGsV
BUDWUZ+dMuYbxGuOgp+DIIOPTn2pAHmGxR7QBbc8DCK+C9Su9jAmARckR6GYHmYmZ3DsliTfCrD8
h00gyAkMA3tY0pbFp0Wu6Sa6NnwNINXbhCeTQepSFP19PfKnuloIKhH0kaENmxvOHa2ZP6uR2Rig
LYWjvfeczvqMrSq4EwIJFX5r3qW//6y/WNv4MH44pSOngoVxLP6TmjFL+F19mu+hKeG/BCpQIxxF
+A1eG4k57QNfRP6zn9FRP0V0Mk9aAsXbF0lOsmOdEVhLRkpTImZFgPDq0hLbkyyf+cc+NiNra8R5
s0en0kPGQr2x+/uvv9SD/0dqz7encDOxE9LrCkTIvPTPSwVXx3ZCGhH7vm6G38Y49vc0DYz1XNjj
sC3cPHr/+w/8S3XMB2IxQBy+uA4t2/+rEzDl0AiXxXb2caXCvT034Z79pSRPKLWzY+T5R1Nn5nn2
pvb43/7kwLoqT00a8ML9S43q5mR74MK32YZxy8quJJ4ziKp9gaCFmQBhIFXnTESHQaj5+0/G7fmX
ApmfzQkmFB7nEstGE/qXD/d0U8XSqYi+oV1mrFGfz3tAbJRbVpP/SHqw5wyogzWFbKDXVmsSDGmi
J9jgc5+SLTMOqJpB4u/EbIS/Ee7bG+kpfejNxD1nfTdsHDWyTzAr3rRqzNZTAu7bKxULQ+qwnuio
aw+p0yf7oDXbpzQW1SVpTXobcZ8eutYaabbXmvD0LikOWqO69+XzIPW8CaT9aWGjgdnXpCfC/vx9
39rp77rLlz1ZedWvyq7sXUNu012QTsaRuO7kQMEsF2Ra97VFq7qylFW+KRKB7lEIE1spqOktPyuI
fa3vSIQGZx/NhoxXaR1aIKJxRy8tvZ80H9xNqGP36OiU5OkrRNJNJTvAMPrWk8sx6w1S+QfcrXA3
JCO9+URKc0/qDLmB0qCO8Dz5rSsdREleUfglJYVsD7CrKfkQEZ+qeNS7DKPNKkdCBxqS4e6XHphB
s/LGDkZQk0T3FRos8kSXGrfRc/yhMW1/ExWlnK5MDgUZ3Ezku9G4m6ENUVVO1TPEgy9GmNHyzANr
XeaKgM3O4wvVqjmRTOqvtY2EZQX0jF1jzCfrvQ4TayeD4RD4sTpYkVu1K3dJzNMTaq0NhjfneD06
tYgYN2TttBc8HXqfFH3+PYAQfzLzZBGja2+bq8ilKUKHm3CG5DOtmMkApPK3rWl0e6l0d6jz1IPx
Xk4XUTk//Fqnnylp40+zhiYXAMM5p8ya1nlfR1halb8dkxzpJpDeu6mKUE0MTBkI+zGyH1lA4IMT
FWiaLC12Vh+2HeRCHdxd7+iQsPsFGOCPOSCPR4vX/1yQorZOSHx7z7qunpEQOyPumyr9YLleQsos
QonI7lmVPj3zMkXYu2l9j5D5QMYn4MHJwTEQZ1Cd9Nu204x+YZvKxjZoEMuz33t0TYN6YmqUtMTQ
8pISFe8AR47rEu9DPYXbGdMjzA/lehesrpvJropjN/T1scoKfegqZ6V8YZz1NC6/O/ZPhXBNB24V
uSJsbhQmPHfiw+voUFtW9BHbFXxKc+S8F8TeeewK+z5kKPaRVnl4tlnSX4cEdxPzrJFCkQB06xUe
vti0Zha9qipeTj8LxSdyoPLEaNM42NGyV+SZ0BlOERetGmcaHqWujAMUKnnGTGR9RplT7lzq1UcG
pfUvIEHV5pqOTnPV249IgqM20fsYK+Mvt3FdTqtOw7JrzF+Yx1L7IeG50HM/+U1ubQhhnI4dZZdc
o1ghHNXm2PSeu27w2k0i/mnruLyHYFC990lINK+dNpfBEv42soZq6dqVT5iF8T4og/REM2g8iIVl
9CzISLxrRTKtU5cpCseii0nr/j6O+2Kde2Ingso4j4Xff0vAjWNIKOwHB1fso+nJ4E5CMz4xB5+Q
m+ZEZstwru6bJrLvOfIjWU+IAcnQtYCTmdxTHDbxG0GMcD7yaX4dZFJ9qL4TmySa4++xPUDYsuF2
EnJpAhkZga8w9MkYVwllB7ALNXUdbQsKoWvFyMqpLwiepseGqJcXWffF11GOQPRRm2iEhNczOo4Y
Ehh9+5N2S/c+wcV9Spd6P2JyfplFE55TmU6XxT6+H13VwjKJf6HLCl9Cs8jvC0cwaJy98XT9Y/hR
rYdIjx0H5UaF76aqM9Qjpc/ktRxOVufpp9GQJe9IlLrPTT3X6zSifbny8nR8CX3h7ahQ6n0FifTV
z7z2xZGjvfHDiMGKgvPZJMV4QWtjnljnuBZzZrjfGuHxiC5pGx9EDXEBYswB0L/6EB07WQ3RM6gm
51QKiuwYTR1ZFB19k5U9xty1Iuj8TzG1/kbgDIJZ2HsSwpYd7EFdOJ/FzBiR4ELdcS7lHQazF91n
NZD9EKDVm2401yRvmMoURJa+x9hicacuAgZwrGGxntqMpo/ZdDCP+/wiYwEBygxKWIBK7BwvbX9w
8jF/UAyzWM5EvrMw9/rJaHt+CfXvzPSySgQ+HpsWA84oPqUjJhdfu+GH75USANBSFupu8OuTTpad
1UToRy++oYuEdeI9AUjS7TDAxT0JenF4SHrf+XCHJH6gtVI/NIMbPGHIxxASynQfAfraGJ49fRcq
BJ3ftMO9D1uJ9gbJex8KeMpHx6uDRmssHZKayFJ98pd2TyXJI2FskXbgf8Pg3HMF63WjAvLgkfpj
bcyZFptXHmd0ZXU1C65JBjYLyWy2wUaQIPEQZQMtmNuquxR4nuFx0ieV8Yysgk9ZzvylNY2UGotW
iUKK29hW1XvWFg7RsaFCGC7zsCb3ZgYtCemz/IK5sfkojHI+1vVgfWDt887o+zhkSooE5MKTwPSw
PDLX57RZzpRgHLxTjk7uJUUiDh4dnzwE5zZx98zmHc6OHTZdJCzvVeMxsurk9IooKP2FnXjcxK1y
Nxyb6tXAA/dA/hsRF0FSvGqAMj8tEZqfKTjEg6+n/ohljV7U6MJJjaNuW5oF7TD+YZ4N5+gOcBJq
8g7WQ2d2Rz/MiP4gsD48d2S/7KM05HEmSSU8g5OTH7niRA8j0tdPtiiaYxGTb0pLbZ62buIIMHp2
/Cty7Pqu6KlslMm7ClKBbd3tJbMwPekXB80H9EW/vVe6D/c1EfEnAracnz0V+gMTkOSTRBj7gBom
P86+QZzNTEqYIUkdxRhprADT8RD6gYp+IOLzn26p9deuyLwcUoFNjJyx1eyuLccilNMx9DaCilvH
XbajmMjJJgxmGLZiXOT9R8R/ZIqkBZP9mqwaQlpERg5Z4C8JZIpsRdy/5l3naPN5tCexheGYnh2K
e54IN2u++akGfJpH6bzrlLLfr8+bXSiKsxC9yjF0GWUbKLQIZSPXGpOW0Zx70yQYLKkjsQQiDQd6
VdGZJPrmQCSo87vD/UgEXxYA8AklIr4+maJvTVx2PIBixOgXdZb1y0ireMvZDrs+VrtjM2u5aURg
nEuyerYy792RgjWXByAhI5ztzDn4U9GfkrwfKlo81X5MyGMHkDr/lIK1GAcx9+1KdrqeE8tBTAw7
YZdiNuakjVjtLRWIKFYeOTAPU5jqtSfz586P5h1mT2Pjx9l6VGRiEEYDUTym0L+u8uUkwjWOGp+K
O5AbYNI0bM0UuBbtgtOSbbwxldRPvc9RWCPxwELDikRzQP30iP96c3ImbRpP+INww3km5cgN350r
txAvXPVr7v+dvTNZchtJs+6rtPUeaY7R4YvekODMmCeFNrAIhYR5nvH0/0Eou1sRWZ36c1+btLTK
kkiCoMP9fveeG2rm00Rsi0zt8iObmc1fv1+8d+ZSqjgHGAarZsu6cRsSK2IpheSKuEnkGE1R8GeP
lu8i/6SlUT+4TYuspy9YPdFCYN7SnVMdhCXCr73djbfjQByBrGqhb9D+eOANNFHhPIuG5s2dWHbn
CF7/qmll/mQViXocShNFGkmt2bHXB6W5SNcAoXlyiIHfmxpqxyAbYgbrifRh7clWjbew6RgEELe9
nyW2iNUU24RF2vd6+hFdSvc6afEp7Cng0R3GyzCVhl/+nepK0jQkUhfkVsw581gYKpRnVl78a++a
r0N8DfGprfgnodKhepwMhibU0U23ruy4RDOldCdz6sx7TR95UExyrmseUknODTXPCIMhgwkDWbsx
Kede6KO7KIV4STAV2+myV5/ZfjQs59w5tAYm5U1CBc1Zl1w+Sk84b7VTmmO0cibcbUrl/HLSqMiy
DRCMZftHWnKVsGAFB9PhS5/z1P5CzWV5ATpi+QYoAtvMsmZS0pnWWe/abp/VPd92Qqnl2jcrThvj
MrnQWxTEdJmuJFhMD7beM0DHQahwtQXw3yYzBw0BSPjCIut8U9RyWbbfqd7v+54WtNzBd63xFtUV
YcvAtnkbzFSvbph4Id5HDZe9sdvQ31CJYh1Cy9TstRUPE407ugNLe3p/+cpq+eP8SXYO2Fspo10G
VO/zmY41l9+UBI3TmOpSTBatzSrgtk347CJkQwxWlBs4pCV83fYt0hrBa7bVE1uZNTBj/vn+6PwJ
3Qym9nkGGrnzQal4i4Mw3i0nQKi6fULDWl67lrZyWr3dmLaf38h3vfZ9ITAKNMjJDNT55wHBZIdE
ja2KrwJ2edaahLqT3nNwT37MZpXsU0tL8wedCPIiaY307fb4xJ4TZwiJIeeB9moqHNuYX/oqZelZ
ZDOZLjgXaus44Uwj4zE8DM2bGmfMWTFStL+TOVeJAyTsT4wDWLZmQmTUCEzLiGdg0BDkQXsRK786
DPoyLGEo6IMhbO3b3lwk34RJVbY2YdBcm2OeZqTh8MlC7uf2W+R6WteYBmkm5vO1XZr8GmOhrDug
Guxuco2H/24aBWZfKvHY2IWItic1amjYUHl48xERen8TCe6+R6vH/3Ao2S6qzfswToqau8NWGS8x
0LM57gcrxhDcVaGwTznrQLKTtA1d00val3dA5aoXHntom7bd8VcBbVSP7/uwrEM28SAIcPtSLGAe
3p+vyIDs5ySpKZqI30mqtjPycYec5hsfo/WFM7XajkGyuEKRQ1vXcnZQTYPX+31z/X5PJx1aJCZe
rl4P7hOll06AcSrSCz8U6VUThvlVkNrTFyXYRznVEOq3Go+oyxpG6GVTdhNjArSYa584TbXN3+nK
cx8ITsNGZ4c8zpM09tzO5mv288h+MXJ2AodS4+m4iZi8hdeBrTEPkxDyr8HAiIs+sOvpOqQ4Bayd
YOVElMZ1CpYe4J/dM3M8xqAsajJ1MG/POdCqQ7esy/iflsDbiL7+k+7+/lXjTrdf2Gqz0tN3s+Ra
lmGHy5MCMzX1i+epr1i9hblUcDShzzpppwV3KA9l18slzyt4C+qxBvv9aC03k6wMn1XRJtERErTX
n99X1NxnF8aiP7j3mKoon4R3TDJFcMzG19LbPzTXN1+13l3IWR3RpHiN59rvYdWH0zWqV6Nw1WRV
dcjegXwzkJRm874d15qZL8hYrsUEq+QQE3+8FiEhTW+elhtMF4KyYx8SyLWK+G+mlXF2aQCHrllG
zA60/OLNxsc73urLKXyAgG4RPNQTedkvvyjfnouTRG9FDog6fhAcurjRh5BQL1V7YAcXlxq1ezTh
htTEMTxWy2YMKEXGAligFXSEAOTyNGwdvrm57cNHJyIGskqmWBw0Qs63NHV2OzduykedgGGxcqZ0
kdFRVd6XcY4w/j2U4Tj1DF7g0E/psJZwBi9MUgxgm8JkB1xmumdHyXT3/dAyWTaiQlpQ6ISaSOIJ
6/m4BiMUbjok/UuYFhZ/iW+xoIdyPC2T0stuaQB4VwWxqaG6sJy8aRPK6co2awWASJu+sOPglrF0
W/sRdnbznMG+3fWp69KBCfOAZ+2c4vCD3y/WPVjSO40l+2FBHW4bteyc+9y5yNuwO+UZcwMIieFj
XQPlL820fJb9ZH2Z9DTekpuw7981139bbH5HLqQfnXnI/00uvMrblzoqPthrfv6ZP+010vqDmYlS
GFgkCcZf7TXK/kNHvide7wALMkwLmTtfSIj/9Z+284fr6LhnuBukZCjCf2qKbvlPlv4H431mYICY
wA1IJf8JuvCTkm4ABoIMhMjnLIo6z6GPE4thTpXtm7V5ahd97bKgpsW5tNKeEcIvl+VfuFo+jUZ4
IaQcCERgFzk3srv6+ELtpJmtBRfvVL3j8jSm5q+yDKxma2qaVlCkvpyw/+FrYkAyDQRER+dlgQN9
fE3pmlR3wbrgUKDbpIZLUrtPiup4d8az2PUJ7XRmnmCe+p8b4P/nkxJB0/mcDv4dvvTPl5QuWFe1
pt7DaGjqhCqAbMKk09NEfD0AOQjv7NFsgvu/f9FPQzqUEVYlLDn46vAOMaz7+FGphatbDKLtEVEE
6VeYpf2CF7A+5HUaf/n711r+rl+mXLwW+VCe8oYDDo7a508DQWaFgZFEc3NUdREEuwC8eGgiQLGm
/Wnt+z/hVX/9WPYSduSjmTo/kM+R1I4UU1OYqjpmU+84a0oX08eqHojWDA2V8L+Zaf2LV8Mww71i
IhNb1ufxHbEwaBC21RxB+Yi3svcNDoedrGqItnS7eL+5jEtm8uN1xHiHs81ZLqWDdPjxOwtVS8XJ
6GfHMaSWitKiqq6aZ4ntqF7RQK/ag5l1sEl6Bix0J+P/oSMvhft/MCKp64hGTP/3onddtTFEZjfb
ou7IVUQxJ8sdeQ4eIiuagYKvtoab4GiGysCsqwCTei5H5AnutT5nu27ojGgvc4Qansb2AFppIoxM
9sWl53VdWmRMT9T00J1JYCZrnkFD9/G60aswPYdmazbbvLd404TUgvlYk9QMDqODKe/WAjzpHuGV
Urvcd3ZK5Wzmu/5x6fY11uWQ28411QuYvuGZ2L27invZ1+aiRJc9GoutqlZhr5rp/P7N4vDXL5ur
Dy1MB9JAmvwzxCvktIxhTWTHGRmlPbjsCSsP441ZP/qJjvn577/tTy9HNtOwTKFwTErAYWJZ638N
0MYTe7xAlu5hNKK+uzJ0MbD8VLUQa+b/yvzNzQUC4OPdxQuSYeeFiE4s9xguzA8vWFs5VdK6bR8I
DTpIJ2aurNuIX1nswuVqMZVxlUNC1RZ07oTpwwD6hkQbZ4BoSggqWuQ0kz0okkmEm59BvVqiOHMy
zFrfUI/TSODuoh5Sy582DIIygexbqvp7kkymhqObvZ7WruNodFwvoZ5ywTwiAtTtNunpH/HItvi7
GmPb8FiKlOnO0JbMIjo9uGduHxMD5D6Jtjwe7Gf0SfPWkFnTrMPRgvmBYY0KKLvpoFgQOcQ6gqg9
YsyGNkV0FvEARwnHGfha9+DqpMrX7xbzYyiRBm0gRFruvI1s+zs0EG4Qaz6VfdVa8U4T8wC/2qVA
4yhZREuTlNByeQo2085lnNHMcTURQmq2LSNyJ/bGSgQDZh4tczkMlXlI9j9uhhn+vVKU2cA6K3qe
OtQXcMXHvOb4kVammE5QJfWXuBwGepRyxYlpRajG6O/B/w7NfVWUpraLqT0G+BEHNNo0o4jyQxcW
GUDurID4EjEa2PV1zeAENnPEvtCUXt3q2VVZLDYYpxQj+BiE0uZMQKzFpx22AEUf0RUM/WRQy32p
UQFC65gdUApNtBkLkhvYUFhCt/TCkCjuEaxn427LxpcniEYIVRArVLZpMyXv2NKLi47fPXiF2WS8
7ajomI42u92ok/FlzZrDO4r0xzEbg1XS1i8OwJJHTTd4PmYc1jf2LMp5Z4jchrBmWhUTjVDJJiZN
im2TkEmYJWyQHRXsWhnT4UyksnyZLTp2VqItgZpamt4TLE9ET++SkXc0foRC4q3SCJnNYy/MjWNE
rUkNr+/H26l1g2eTyoHJ0wfLx7Q+wQ68Dah0edGxysm91un2HqfkxKeY/eFozD7rGszdZNh2lKkd
CBuG4/WUmOXFNPQxAQX6hglRJ9jfkknS69gmoX5OZuBTuEt1U6PBkfe9ccKCWThVMkRgCj1/ycyC
Htx54dCgXFWUF1TjfegW/ZPNZ8P0jG/rMYgZ7wF2dqtvIC+N2TMQH7odpOd8QqhAiAVLCuV4xXSU
MohGp2Z+VWB16z2ooGn0ond6NL3KvoteGiyOO5eitGciQtVuYSgP0B+rVlSMQ/mg00rh09lUUk2r
sZOEOwGsy2obiLZ3z5kSUbjl7bbyjRDM9L3k3FkcbS1O+YgtzXzpOiBr94P8fI59OZJE+6A/Wkdh
mqXat4Sck1WS9l3KQKk1nIdRd6Niw6cYGn1FsUzTP+Ksso0dqmohiaU5M6VhWR+JYKPx5A+eGJjA
ivYWfIqOpWNsG8eUl2Mx5TMnSiOvGd+DyoAlm4yUsutVF24c5lY3k9vAcSgL0TYPjEzK5MJ2ayme
ie1O4Wnu4HdeAPEnRMVJeLpi8ZLJHgYGKjrG5Xw84v2cUrFS+tCGzJoNQ0cnWGqmGLUnHcWT9oCF
MRjSmzZtZrGpy16fT1YLZZtsZCsIpUV2R3AUR18sLruWscvGqcOOYsYuexjjSmkXYeRQxJPIxKl2
vGPVP+FhdJstt4djHqE2zn66qXtwFBdyVEN0kfWiVl8LxMdyK/SAinCQEUF2kLmq6p3ha5QCBHEn
sMMYmlEeAWOhGnCn5ON3jR2W/UWwNkfrrqy07BhkvHPs39T93hWlngcveeJYZBplGoz+bZGJRRjr
02hciVz45aZBkA+X2YUMbnDRZtWaWOcUQqDMy9Jr7cwl+INomtFhDRfAeAC+5IYXE2QlXDPsZhK1
ndLUMs8udcEUKUi/4acZgqTynwnX9m9zEFTi65iK3jxP9lTE+5FSB/tyJMM7pdihOUbdM/hTxZZ9
cGpeVAU129AMCTauQgB65Zm4TczfOWissyunztP5UWtATzAfYcVo7olkCx2lgG0Uq5DBg6JU25K6
JL7QOZJO/8Meek1epJCX3Usj5tb3xolI6smQPB+OBqlt87KWeVuQDGrm8cgi5WL1iQoz75jplqH2
lNhIbF8FIJLqC0l16AkFpRfO17RwWuE1NXzlHZCPtuMHPpqvmMVpxiD6o2YaXXwcMwW28Cm2NAv7
fpEqHEoTN/aVYgYdpJ4WhLoZXoTAT2X+ovfl4Gce0fXCWTNHSogT9DUQJHczVD4JxX1RjHO9tfQh
C2gVQiUHSueFmoEPpZs0IZMVjiBhhefCd22r/4ZY1txRbJlr2ToTYZ/s2LxmNGRzx4yQ+lIjSC9h
u5Xhime1yDcdSbZqFZs1NhKcpBrD3FFhTOLV59rLG8QUKIx2vbXbIUx3qp2oTncc9jdbhFDjLsHx
LS4btFwPy/C4boWxEE8GtU8oFX5sXbKpLr5M6qDioPIkuJHNIO0e9T6vGf1OIS+fypDeRXOpJqq5
JN/7CNMRrDFV3PItUy8Z9+axZXvhsT9RLw4py02CxOq8lZ1b516zTMV2YZ+O3zDMgxpwZ2MgsNd0
5WuF4l6fJxzQns9o62bkWXU9pyS/rWKgD28e4iUmOdjupSRb+TIBs7ganSjtVnZshdsoy8wHG1Tf
Mvbt2yMUgEzRlueklxyQC+N62cGG+BWK9snHyX5EUuzTeuUv4DcvmEr7oJMNf6OGbTya4DZcUlxK
5KuAvCfLbNkYr9StJfaFZpraRgOgBv0317tjaZaaF9o8yVch2c16G8iAIB9GWsc5kME0qtXkzNh4
nNFoXoGklk9h3VPeYVGk/Y0i2HAAFEBQ1IhFddGk2cSwDjti4sVmOz1aJXWdMqMVPtbN4Rz7gf5l
Qmf42oxm+C3iiXVMmyK8HuMQg7ie1ztVGlCtQkLYLanJNTugxKW33PRHtEq/PuLrKp7zwWBgHcow
eG5nsAJhQFMNXvgHCkLSLwn64Forh/g6F4qkvNGqXcYgH5i8K15nMh7wqmXCM7FpsIDazaaASXNL
0VGBj3sw0tSDpjGibTvVZW5BFyTPHvaer0RW7cxMRm9YUvW7wgTtzTPMUA9UQjvsbKVbtt7YRJq2
tog58qwve2ogIiq91pxZkYKnamoPqZaUlwxzypEtVIlrQsNPmrIDJdIgHTm8dLmh7/AnazYUvEas
DZLEoF9H6xSTAb2we4ZQtC7puMF8+452N+qyrCLzMGao71Ao4peuHQb/wM8Pw3qN5/jO7abgTEtb
4K5CVxdPpRDJzQAL7M0oacZd9qglPDAtyEvPbULzzoy62brWZh0bCOFq/aZIYlesSxb/C14/hTrA
mLbOjMk4JaNe9ZvY7RW9iGSTXcBh3Y8IeOZLiu/F38/L2eMkoYfNjCyEyPDJGVXNrWnNcXO9eNWq
eJtoM/btxCro6VwxZUKwoTmXQy1mIZ3/SUceb57LxRF5N1Vo1TtM39B7seTiNCGZPFEkK8xYOAxd
eaAYCKljOt5AwMARAhmuuYbTzK3vdC5/mEL6MtkkBam4DWnrKD2T3NGzU+XrfnvoAVLwzYfpqHFz
9ZQbMx0q8QPwRiogkbxGB9pDfuO3WhZXA9aMZksREuMYXWsEJxUcFNkpzzvT1lbvb2H01VDgJB3i
ST8LxjW5ZN2TNI+FGQbWXSMlcymDeHe8A9fM34dThE/sljXoFMsXHBdWvjQ13V/DCsONsSbUR1/W
KqCzYXkV6JG82RHoeT97PYVMyUa5DfwXCJ88S2Pi+vNjWroiO2VFKLrvvd7V8YMDnaP3shnI1+tP
5S9XNLVfaDw0iqtiqBjz/fzff14th6hnsqG1UR954MduyvCeSzyihjXbxli8dXieEAgoqhvbCxBy
Mt60MbZOjwtpZCdG4ggHwoj5vvtQ45My15PmxdBKNuljZgzTFbMzNztGmFv1PWNkZRwyLCbZidix
Ez2HmTZOkEHV4NqP0oGOcz8U2fLp2WkXuVcYcdL/aIucM48XdqDpKe1ibOisGNtk7C5qkWOE3HbR
u8YTDFmSngOuubGPgjANjjX36RuEpNnOsOQG8LBp8lLaPi0D2AqQRwaqkVoH5AfpO5HtyAU36VqP
xpqdSOi07hZ6SpyxwAj9LkazCYILyHp1sBMiSvpdGlgp6ME2IF815wK+Cb9vZ773CRIk+xIAk3Oc
hxYJKAVNALcvxUeEAbGL8BxKQ7wC546SH0CzmRf6ZZhnFXyTMaqQF1pIdni3yvSR7U7b39kKcOZ+
MBGbCbnUNs2OmeScbXRDaO9dl9PPiVo4pz/TTOeGZx7tYattdOYQ8kYJVsOruG85ZTf+vJxhk0q0
imn+gNNwHRjwqtY0p8bzow42r7/rIJkAxakClvJB5rxtc7T50xJH/rjTh6AUK+xVVXAN8SOBlzcr
WrXMItLkhqayafL8zB7UOnD1Oii9Bo2KnJBtwTMOpJmbpzmf6/5uNCoNziAIj+XhFTJp4+qkxpMA
DlSf7WmOxoewkvGIj9Ge+umbxoJk7VVGDj1a943GVY1iBynQSyilXNwVuI8hNAT1MMmTxHBBl3o+
R0dgRvyc0noikyVSuCGmNOQZIHGncJ3GIl83BQmK8zAF3JNDw2XiY5r2dU5N1y4xSUS+0VFAOPwd
A7Vnm80PpW8SOKJrLQQ38exkSEbHMV8UkhhGh72nC9bPPaM2eBRVU+qGhC/LMfkGxx81IavdBbuo
JGHvFSSRbvxNDuOvatV7oMCm8EEotKhPEq8hRoMt1WgfllI28MzsjOEhznGWbQH9Euh5F8f+PV76
3XjJQaD7RUf8S4L7uo7yb9//Y/M2vNRv/wFN7yV/+zBr+vkX/DlrcvQ/lFzGTCYxlPfo9f9Gua0/
GCUxLQJC4jAQMfjG/5w1EeUWMGUBDzNWMlwyLP87a7L/oFxE2iALUQrJmVj/ZNb0Se82eU8AswRl
FKZElvwsr+O14lQNjGeHWCmf2GhTaMnQ5/uU4KfKbdWvONHRg+tiba9wHP8zBfbny5t8RGk4fFb5
SW5nETQ1ZzbVzloapSaj62jGGwaEwEBtf/mS/sUIiO/wV2V/eSnJLMZlviscqks+vdTMHiBqw4KX
qsLkAD/I3wDyNe7+/lU+/Uj/fBVSWQoUKpOE5V38wmTMNB5DdZWrnW1lrzWbw1UVdscEqNdvrtwn
KfnnCxmgCnXbcNGwP60GTqgAnuHd3EUDfs1yfGBdfwmUfVdxhmbzOP7m8unL9fllMvLzBfknoivN
L1zFj5+MOgk2iBmfbHYAaQgDHgig5jliYq9EvQZ7ZIRb1tv6G3ImhngFGSYZDfdmYmE/wPpusHLn
ETT4eTh2aFYHg16c0z+9/HIZaaLnuzB1aWL7+CadDDsdjwJ3R02V68EbbFfW2PzA3hf9Bv751y8a
9cTEKCPgFuEV/hR3yliIK2zK9i7tKrmrZVBf6QqTqdDb6TfEg7/euaA+2QkwruCrFp9finUiqlOw
y7skBCU1Aj88ODry8d9fOkJ9f/mGXcWujWtnu64BIPHjxcu7oAHUpCBABo6/6UUfHmzYkWsk/Ayb
W5Cm7lbVU4lmXyzO8q6IEaWhNHi2PhpeYmbardTiZ8IZinOSNg3nwbQSYvNB6DwEtj7tWnx1PVJw
R4e3W2XBTo19t9HtqYS8M8KPV1O16ZloHbUkNVddwFagQy28r0Tk7mxNFmvoEpOiU0RLN7xgnGPZ
7rXDRKv0F6cL9H0to/C5YHzmmYSBccM41tkZXJp+le/uexGlq7yr7Subge8mlXHrQbIKjxQiZBfU
j+o35CpTkuWxdQ3wOnhyitG5Ekih5EcmtlhtkTRrnGsupWtRf01TCIDXUPtONXPPTsPviTE4bfXc
6LVzYUcYaxJYeSfWU+vkw846Z7VN+TxGdwhx5sApm7kKZ0mnvYcXpm2j3NHBXbtV4aWiNW9TOSUX
ijY3JoMyuA5ap3ob2RffZr1ZQ8zFoLoaOsFksAqHVd+wm15HU5wc4tpmo4UMkcOx9FtgbFiVt2EV
6nAb9HbPtj29mugty1fCoDeITaTTH3oE7OvEnuuvuL6eRF1w5AqMGRp1Ruv5D2RyNG3BhTAq8Ya7
U+0jBokvlIhmxaZoEoNIXq4u/UKiehNCeza6pvEEJ1GXwYy6KyiaWIeEA4C4Stq2jxEZ3es+S83Y
g5wTDMdKp2utopJ5OVUhpDoIGnGjMy7JpMaYsrY6smJ5Xz2CoCskmzOteNZnlEqcVSImeyPEiYbr
4BYIkOsFYG+LdU9l9jpp4+YQh8Sad7qwquccIfA60fPT4AuARPEJCbX0kNBh5CqEvV45t8PcuCuE
aQYOzAqPRtgX8nmSTS3Xg1U9gga6gM9MAiWwxy/GrE3YGKPkyQ31EcQE5Qk1sz297zQPGux3FXGT
4Btrn7sKr5xVBeKWmVm9cuPyqcnqlsQWQ8jTlMLmWTcSTr1nUeAwrQlNqn1RY6SWje7cMfW61zCs
HzJGRWjGzA53Vp5bN2SNaJLv6SsIH7U6cbl4KrrGRjgcJQZOTxOFv4ZJ5a+70G1rSB+ihjqAjIwU
EH+t1EKClJU8kXsjX1aOxqrmYoDYN6tnG55Ec585CfMXqdJ5Q4qzhAsnB//rXAb5loNy4RUL7gSM
aAbagWnOw7Kp3sUIUd+mqCi3cZIEe8FcH0Ad4weHgM2p7ALZeoohEGXZtZtuZW5kFHILSibakSmD
hqKVTgMN1rpWYNClKfwhQVim9w1BAw/uXJ0xdQTAFbBl0QvkklIpDPMm6fNq68dGfoc1u/B0UwaX
U2CZFUCssftqDXOysjmG7GYgEWKTmgQjHQFL8gB9HalS7wPtJldpvtVbzb7325IJps4P+WyNdSxW
zCKNebPw6PdBbSgE2CBLeQOTHWor2oepuKibZtiVVmldU/9mbUfRupqnHB5J1N00O1OCU3HTSLZn
x01y4JU+xr71jBWSg19bWOXGDed0O4xhiwFY8pNJG1XRfBEBNuYeKLeyNeeVn+EFhWhHzom81axv
kxAXOqsZt3OUllSwlZ0B1lc8SrIZm4ZQxQ6Ken3GCCWvXNHlpxqoCsTfYNpUvdV/GbsuuiSJYr3o
rV62ELOoVXJHLdv0DX8f/QOT1wX8H5NoHK/xixvHafTd3EODKsTKpSTueeZod1mPHH8NCqA3VCcm
GwHWfWdNhnapTYF50KF0bUzV/aDqIlgZVip3uKGdddBY9B6Xs8cm2nwYW1DtDGJLZrUWOMWVTY0J
fLdZbiIe+0fdbR75Gpx9pmr02cLwCb1RA7s2WB+ehKuJq1YnPEXFNs3IxP4ZcXDwvsv90gZ+aCZr
l9CeN4BS2LPZsY9NX9+EdjbcIDxVK4fujy9VppkrVFrzMDlAGpWVQtPE/EFDRNA+UFuNDMTq/VWm
Re8R8BSHAJDXOqdt7QhtZFrVZmafS3AfXkntqUcPO5GbeiLrnDR9dUbVqJ6lo1vXEtf/kQrqN7Lq
5iW5Xm6Iihr4QEJ4y/q+2XJ2SHGVuhXBXF+rfjST1ZySBCpKBjP3pcGfv2oL0b3hqKA4riDBepUz
OLvwgbS0ezEU+h4esnmXxErbNanltBsR0VNbLDQVJGKwKCpz7nHEPSXGHHybZjvdFIE+Xvlaam/z
FFZZkCDMzLl9EYORWDxq81pqbrcBVlw8NaRP7mffIusOLIjCliqHzAkRMmdmbWg/mLV2a6v0WfVS
JAOk+ZERHgiHreFoudfFpXOlk3XYp2qQXqnwNJugdbcGVRUPmgiaHVttEuVEI1iJjBpzf5ebN33L
hxjqVCXruLGqgxoLCpXC3t6+P+gHo+7WLkMufM9LCFoHjL8iDPhYGRKTOhDVc6FX8Q9cPg6ugFJR
pENVAVs0y+trCeSnap1d7AzqNHK4ApWRk9ElmnqcfKylDqHLu8TRCIcJkbPHdcdTCJLnQjRGcdVl
g8N0znxWfdivfd/qNlEZvVpGal+0gMq9oHKLL6qdzWhnF3rAr8/0f1h4+bUTR0yY+QYVQNA32uIN
1Deh7JLvfdNXpn1F3LTfcbNjkyBoi4gDvuJFD/oJPnbpjhd/v1386/mD46eBGAGCYolDfdppK9fk
Mqe5scsj1YLyN2gvq4/2wM06RFsbIvDfv56xHGg+nj8+vuCyIf/lZOV3/tyKuTB2TS4fQ11t82F+
YdK+Vlq70czmkNrljWi+l62+MsWwH535RZZvrdGfR7xMNQ0TtkFSk0kIUKHrPmk2f/8O/3pA+vgG
P22f60bX8sDlDTpms4ksZGVT7HiQ7LLqd06iT+h/DJTL4d/Bvsnpw+Zx9Om1FLO5Mh4TY8e3sGbp
fMCyTj0MeqHDvDEJ4i03mWdlhlg1pfYTPvJvZeh3ypB8P3v9j+/0L8oQxe2v37990IJ+/pH/xvqh
6ixwPnQIxxF8gfi/lob1//pPMrd/LIZfAHMmNaUfsH6O8YfDwQ+PrsBNypQVvuB/+44tKtMty5bo
+HDjaMz7J1rQ++n4158YQ8uFxG+ADuQUjSj18SdWFpqCgFYG+2iBRV46Tjk2X3jqWo91FkosVXK2
QLuvZbKg793q3ShHwSQTWawfLkyrICdnsSFJ4XTlFxAejG9ALmdpgcAN2qyJ90IVc0hUmqeHduG7
QUzOBmQMCr4wkHrXeAynYiPzqCIFaKQQAoL7ZuL88fr3v9ZPBbbLT4g0GZ5ZpBr+RXyGGNJCq9uB
I61d75KsvHWZ6buHhMLeyaO/01mMGD7w4h22XY34td3FevFQBCOWt1DWOVY55pCF9hUOj1lcU8/Z
z/vCYCv8m2XFQKT6uPShWQH+loAHBQoZQ4pPWg+0OGIWJtbavOlNCFQyF0Z9THqQewTt6nESroee
Dyp43bJ5LsW5T6S9YTPpnlQfmDs4FvhHy+EGVwZpYkw+3qyHYlsKdl6gPdj9UxpR0AbHbhiCf3ci
MTSfMbRY+DC6sXr2y1RsCT6X7KdqX78iVTZezzrP3HyujI1Ni+UrGMjMKyKn3dVdmxK/1VR0BqqK
Z7QO7rPQX0DDANRnXyYXbZiNe+BT7f3k1i7HLBc5qc36S79p65sJg9h50SUPKc+6BBsUoWgqEfVV
FQ8zQDRXf4aqOjCDRq2i7aFCMQhlsFFYbuAGuFGyMvTBfSqyQt05DIZv6jJ1Dpomw8tBUlmz0uq4
2szDFF/42RDc4kt3ib2OFce+3N365Iqfp7aZuD3YHzC0tE9tWasH7PL1g6o5bjHt0fAQ1v5eq13z
bhKZuZlzBxBN6TK6aDsXHyeo9jvaVUogVKNstn4t7dfaryKSV5yA69Qu7izMPB79XuYOWx2YB1xZ
TLYb83tdFPWrnmP6jSZf81ytLFcN9aqvvqEHe6IK40FAmw8IIVUzC39T7oJxzA+2j4LKz6dhqhe5
jOQo0rzpTcASmwJHBNNQqGC+Vhjn0MLADU6xlluRde73ZLZvaw2Hy9Tl/bVt6fmmrtHxyPHH923S
VBuuZ3QFLsDfmTMOmrUJ1csLMse+hzKffnMSJyIUNFhqnRaM9iCBhpe0AGCtUy1NnFmbRStI2s3J
kqaEZYg7ofS5wCa0tg0p2eS1VLK/aEqDLA4yEjwMCIF+6KgD6CFm3vRLrloqpA5Za4m9ngr1tdWF
E6+zOVdXjg4WXONmweQ4hqSUht7kRDmk+WtTziDX2Zg4KYU1LtiUMQTIO7ay+EIAbdj60yj3ZpDG
X/F2qWunEgO9RUqnet4w9m0DVafB1fOYNVU0rKasEnWyNiGlDvJuaHUZFFtVgLaq8bc+dZpeXorS
NUgOVoX04mG02ZcBrtnEc/n/uDuvHrmRLAv/lca8s0FvgJ0BNpm+rMqrXohyomfQBIPm1+/HKqlH
2pluNEb70FgBA0yrSplJZjDMved8514Qz72uKlmvs1xDJ1nGUAdK44U29h3JuyN0yHmCoFib4RzA
qiPlZLDXhezJbAwjiXeZPNHYr3pvFRdaS73VI9xCvKv/PYQYs0JEYQ2eoiZLcL1GCE1KhfakRExS
XNb+bOzHRrT2uhvANBQxDlDC5ThEOnXB2azkORG7BILito5SBoDwM0Oi2MzrFw3RW7uDiDFgvu0Q
j+3MajLLs0Qz3P7N9ygSnwSZA6qF45TO9GK0dBetidnt2eRIat0NDh9l7XoKiSNFKQiMqFdKFXF/
ibRQR0I8R9g+lNfxoGiDQnXwYRahtL2Etdje4nIDGDU3YQMZE9ZxT4fYvBcpXT/E9Jln7xUn+wSs
u92nMl7RgO6QZM7QHemcIi8m1YskO+MFqLMElRDZA5kd5xHMTUsdWRcsVjtD+LmePNHQt6w3uIpY
7dYAeuie5mrpq+O9n/t1bFNrqNZ6ZgD6It2qzGmU88WPO2S2MbmQhJrTPeQA0SfzqUlGWn/ft5rf
4fVHa0GojktD99FDTRIBxxK0a3U2czKUicZBM2eh8puNHlOtoAub+hLIIZyldGcWig9R93258KDA
r0fr1nGj7GgTCtWeKtLgmGFGi1+K0bdzAqfchca5UU7J8Pn4DzBDTrY2s7Z+QjvhclGpQZElgMLn
H/q8LcsDIWdI9k/NrB61S9Q9ikazSWYBS3tkU/RRG1mZEpY38bNq11tx156S1uAu+hHPTvSzoJwN
oK6YHvIjQEUucMT8R6O4tHP9HPRhPIVARmijpzpZBze9GwEs7OpS8hYji3GqQkCjwcyWHwCsE5qY
REuqRa6pPtVzzQUGRFzST5+BBW3YWqCXrxABoCgfMJ9ysR9eiJgCEgJ/YVbZlwzty13TjPwzBEc0
n0B5ZuNupvbVLv7ZRZfgt7P4rEh6tMI2Yjvx6LVW5TorkgFxyGzGxqaaQUMdpIu2RrPDFdDuVjBZ
Je7Z/EgYVYTEHS+iD/s+L4dMbbxcxFXo9H0dhxqDVDsQ5EHj2JsUdRsgrQwpBO2iQess1bhupHSn
tWP3pGOt0Ghk2pnZWQ1RbGZLgsKBcZRmezPzRL+2Bbh7KHsIa4h5Nljh2zAGawBGfqpdEWKc5VGM
ajIrd8hjkvnCS8gmQ2mJCnGvgdshFKzVEX8geaH1PxoajWZQi8UdDBaJzuDDcsBxEIuERPWDSCCg
yEAdIKCanhm2pTbQYMZomwWKbMcpbjAVUEVzLFJu5LTc/gVaewGnZihCYuxzEjHQm+qM6j63Q+z5
TJG5mfCbVeDG6t6eVJ9sZ6tmcA6WS600F9XEwRueA4OI3Qc5OQnVRqBSsc3wz1KHe0+uR+Ic9cnw
iiPnZ9Aqay2bJP0BBH0+00eZ5MfU8UodGTzz3VvtROKpchFuzvvZAal+r5GlgIoJwdMGFJZAlK2o
Abp+8QR7pa5WynSOgTkKWhl40DfVmEzqFVES8lGNtx9WLlmH96rqZXnGUJH5EaFQvOSexMZ09Ksl
5oGZaRDESvTVym/Nfj5LZle/iGu7h/TmCRspF5uQQz3GyWvflOUjKEHzLc40QhSzYBZIDbD1+8BE
EjcOTdJv8IXUbo/wXTeAjBk8KBg0LhoqI3s/LrNNpQ/RK9nJpPXUjkl4kImo6LQjc2gDG8MNi6a0
gYyCkrlEUyfPqtjW76bGSs5rSznryPL0L62lI+DsYJJtXUk0SIjUii9GyAzwQAar4xX/k4rWUYWT
L09bf09prNulY0dYbG318wkLnrEVbGC1VY3ZR24CjTprqZfJKf7/nGANYmdWnfJzEugMe1wbKoH4
k/ivaW7LR6IezHyPS8Y90RugxicRDfMTIlK1aQ/cePjEJ8mekPDXt1WR2Q3xoQ2bYnN0EMjCWt3E
avSm0HBxB6yF7SDcoACGbKdkYFWWkn0I6qTRMNEne6/suxL5WQI+L+O34hPo3cGJiYTp0phjIlZc
k7tZVI7Xr7MgVdc1Ulj9iHSn5HXaoTvzfJ62tVPp7nTSgsaewqZu3VPmDY1gjyqLDmnNYgpVaOCx
sKO4wrUeEUOgdCwkpj2UD+zrZ2trtrbcwh50L4epIQLEcfxN0vliN5IERaWR4h5b8nGMAD3Zfoaa
TuUjcqac2mnqmQrzXGklB4rPzQ3Nne4Mu3SzYViShzNyT85mKy/PKAaTkS4maGy+AuMZ1kNsX1p9
wUpU6277edDL0Vt748jPmMmGrVtLhL2OYvXkO3Dg/U62XYSNTMsdqh0bO44PoAdjtbiJbTkceg/Z
+6h30YOpnNe8nxbHBE/oeZu3GAqqXO9u9L6PrlyvBNBIIZZ4u4EKF4FBMesLYsmyokuyKlxxOyGI
mSEHliShkl6RrTiMOY8k4ngPThq1Ewb/NkZPN+juc1Y3OICa0omOiqkRQw2GusvRbHM+vx4V+AFI
Zz7HO04ryRDi0pdszsgTI3na7byOXYpFiAgoTchioNRgI8DgTQ50h/QMpklePoIcLNBLt8xYDhW/
dUrk8NpDVnHGqUI8m61W72FOdOeBhSQW68uCT0n0DbUD8cXPNJ3CsAGts6iS6HYAgHHqZcrf6G4F
tEiALEP0OWhiTc7HrsJjf2p6VGQRUXrJlt5idsIIXsC0rcaUxZaGCBU9EtPRGBH9061BT5wvFgq8
RDCOJ6cPkOI1Og0piJExImVfq45s3iqSOEaWAGaX0Xg2XET4CBs76wt0DPscwGfQrhw/ni8Niw0/
DfkIL1Q6uM56VsBrQ7Jhx+pEdVXwNFucF5B1eO1n+BXJZqAqgHWpitieC13Tz00EU+tmoI/MeggI
qtWDmcOf8s9noKJh7LjJuEqqihpplXjmDQy3R4sV7sWFFu7s3MK90YAwmexMVbTP7WHa29T55qU9
XF/baU+SmMMMa+8a4BLzRkoY8GYu7bdC+fq4VjH0gFWLq8M5i4rpiTZoGZ9ThyOAJqIQfiPdBM6n
nRTXVZKl90WCSSacpqAOeaykSZVviHfgnYzhlCKLuUehUew5slTHbLbHAzINljEI6/N2GJzxyAGa
nYT0IDDqfjoQKImj4bHN6QZySo4jwbGjkfAgKGBs2yT2qRtny75oDCzzMBnGoNa9MAZAaZrsYCsu
QUPz0LAieGgz1+iG+n7FOfze8pTY2LEjaPuWsmDbotEZKdmOhktWOG4RkpCwlOFR/tTZpl5zuB+7
6ywv/Glnm27+yjrmLLgiw7hySzhlgfIkQLclB6cwZHfd+VUtPsGF6Z8yvo2XxFyapt3o0EiaowiX
gM3iNoRmPVizR4yXDhcUb0RwQ2I1+48BqIm7S+weImFtJRLFeq1sY1+zXVNhOqPtzx2nyXZZ5tjg
NJtGd0/aAdXyqtRz+ijoEfN5Yw6zKLYStR+98rmwx1M4q1ZyGnSuFd3YnubW4LaGtNynrQCJUUJa
k5jZ7AEfAeF6OY4goyqaE5pwvWo3LfV16W2wX0B2mOe0rE/QZYGCommR6PMlzSULPjybOD6a1lEU
2Dn0RvEQgED3nRWKL60hyqGvzT7Y47WbqnJloA+K7wraBD67Wrin2q7ELFjdQccJnL1dJbX2WaGR
FU3YKnQW+tqHjejtdMab9aIST+/WvuzTfl2ObvdsQfltNk1lT7Bbm5Z+4TPbvtZlKzUtgT9h0OF4
PwyzZkbHWAf1CJVnMKr6hqycKoaC1DXWY2VR4UhWeVYvkE/H9vIbLwpaBZ0yz0prhZK3yKp1kOI9
P9DAreYn4BtxtG5sMH6nPedK71xU2gjzN/OD8gE+jaOIy7GiXL82am60A9TQGO0dbrtacjrxVXmf
Jn6hszPuS/u+IGzc2eI7tasN+Fzm6LgYZ3c1gkMd9h66852Nv4umubCLOqx7Ka9lkgxkIutxwMGV
U6nnQCwqMKds0QDk4lNFuGl/kIMjLuygHKaVN+fkHjXQUlJYTa7LyNQGkt4KZxSfpdsNrwbS4S8M
cnxQZdQ29OVs0ot6kzwnOKBsjRvDZeKPO3N+pVjLbmsZ6ym6KR9GfuOB0JK1Ko5oh5MnZ6yqm9zp
ZnCAmZWF3AW8O5FO76uyryJu9wpSf/aMgmo86aRZbr02DQAE60Zw47StkR5munMw9L2Yxp5q6ccN
np8x7gt/XKMVKo+DSHo3rLu0DdYCwf6uoWp3wAc7U9lx3AuRQhcLC4MFY5XVmnetOToerIjAvHKP
NdbPVr07BY+WRvBVmST6jcqb7lOUJtED6O5519Fhd9a9FkeXvQ2oFHFMl7KF5obXEMD0dMPE0J1S
TQjCwCGemhNG2WQsmYygVRpZ822TjUmwAS85PBaNUxHz1/QPNDDx27XCeErZnSwQPXf093BEK26R
GOpNjv7wXhvq+hr+ZVmEmZGarP/kO04rbLnTFTljI6sVPHp3JYZKXgLgS86IIwHbVcTGDlRQfMdO
tjGoObn1FZj7ut3lIHnJlmSPfKibauwPBIEUt3aayzsorNn4aTZoZoaoaeoupAHYcxLEfHxiCdu+
dgeKT2FuKOsVVIw4y/W2PCd6tX8gQ7E85jGnwV0e6cFLZYDuIh8T86Rtjaw+VDNr98g8KD4FyZAT
SF/rhB/EKWZKHxDdxgYTjIGQ9f1Axlf8NOR6UW1iWE7dDrlAuQ+ETK6nGP6TBCILAa63W0qVRrG4
8vS5fyxYWcYN7L4BuQ7efm9d2QkkQ3iBt3XMBOBGrnvCYO3ezEIMd06d1/Tl02zAEzQVCkNT0z4j
ChDTNncacTRYz55qYxJpWE4e6N8ij78Esd1TeBUWHudEteYO6Fpabgp21ASjsjuq1rWBk4Phlkyf
3MiYaCVELb3doZ/105LDAoRVm3P42qfWM2xzH7kmIm9AtqfsgYhPyPqecUSZ1j4HtDlkx9iyCybE
pI4e4LnTSU/jVP+C1AIOsmBRI++SR0uQBIcEYpwnEsKSob1IjZhMTN1pCkyMgD5kqNqRFdKy4luC
0DiI14a1k1R4tA1rcV1BFotoXLTmdGh60cXI7focIU+ZU+tUwXiSA9e7JEJRwBEfU6rccTc7O4Y2
wg0nSRWeDrI0wozj56lOHvNDIsp614jRYI8xmuLVINd8XHW6TfE4VoNBSTdhRbfcON0EpCpR+/T8
27JyTMICFWTMYzx0V8Knlu5mi6G88uf4qPMxriObX48UQA7OohlJlzV9m31n6/WarAub6g8Om+hU
g35dfgnIODnxGp30aUUwS8hOFpRfTJd9lWmwT3fKkcSvOnZLoFtme5Ssp8bB3yLxlz0O9XhXB9FM
bXBwobcCBoMZNsXUlPUxRxuspE6qkZcEV2UazNG6p0QF+I71S64bvx3vXTmMO3vO23Q5IcAj1Hl/
rh/uX82T/zT3pkduWxMBNWYbw+Y3M08K6hbVShuM7sLxUtQ1oFmrbu3Reb7V2Fm85gntUYQpOI9X
lpUBzYktqZ9GNIoRy7Bk31H7SqaDRUcB/Rcxoitct6LaMAu73LYpYLopNeXODHh2iTmFVB+DldMi
p1vlQ+EajwEv06/Jm+ZvwGDlX1QboW6zetmeoEWQMiTvwPD3nAo8cTBH3yMo0qJVtMJ30Vwpn7rt
ysCxxjQk3MnZglFGKeBQSON+jzXOwwn93NYzrHi6T2Y7UDfIPsrPZsYGY2fE8xL2SDEZWmk/u8Fw
iveargZTgLVFtuNjLQGL7m3oZGXW1nLahDpdL4JzdlFjDl6tpRlHWfRtgEF/w5AiT5dYR17VamGY
4lIil2+tDZnFRqvNOMg1ZVuzzUAOQjclnZVxQYJM1G11va4KLNDZsNBBWnAlcKxnghxSb3DCws5g
XEdByfMZoG2Sp7lDgXHPaEK4asBbGFB1jBXGMQJXM3xROD+6W3eumyt2AvV0JkTQ2p+wFY0WNd/Z
7E+i2JHRZx4n2pLk7pLTyEOxJJrSJkQ6o6eaeekCk0OeGSlUYyuPnbt2AT6fcvgIOl9gqI768iQC
kJBe9Th2VZhVlozUzuDSNlpD6vg51nypIYQUHZj/MVuIEwypLjibWjkOL4hXM7lbHH7xNlKD15ww
rsvHgdPObeMpT9vbBPSKJBxqLeIiqQcVO+ySeEdm6cr6NCYWRtzhgKkh4iP91G6oSCgKEXlheGo3
IM3n7KQ3bXqtedDWLyOARea5I4qm2pWEW9WXU7RIPWso9sYeUpoVH0uB+OgApkLrjrSfjJHNF7bd
a9ablLTj2a3cCyxWsHJSGHD6GWQ+AwmWxcrP6NWjeT0Gcw/gJaqH+lYYDt0L1Rvay2RGQbZjmi7Z
JkVGZuzaUqiaNgDH29ArGGInUhkDU7pMqytp5go+jKdJbF54kpt8ZZtjdFB+wjulrSe6jedN3chJ
eNb0TTI30YAj0MqYmFbA5UeE09hj7ems7edZvwzoW1k4hntp3Qi20uQ649GyxcoI/ASBE45s0imN
vB5u+0CV9gvtQ6q8SaNiivyjNt1D9dWitXKD6Ekze/cRUWRpgA/pXbVdfNjuOu4IJ13Fpe4+kl/N
/80azxiIgtfr10wNUuyHKrY+DRYHoT3lB9nzgVp/qfshyTod/M46jRMH0xmfPyv2sRY5CbqgebhJ
XChFLGIQGa+m1idENasw/qKjJScuTGaqNzMytNvRHwk/nrnb/YHvcylz+ioX67mNnOwinSxBxm0K
aG83WxQjV67MdcYY4kaEm8KMZy3srEpP+Wfk0u5c2kLaRU3+zLQpyI3qLjiZVKRg6n4QXVUgPqTF
Mc+vmdQx9NXx/TBTGfLC3jNYEKYar9952tmtdkrcq/XSsGpVl76ZqatmaOlV0YLoKpKvcv9ckM3N
XmWqo73MfFHuJ8zM2l6vObBTdB1KGQ4NrbEvFHWhfKIDWMqkFp3rkASWhqfSoHGybMUb/1H4JG9S
ndFkJjlu6XpxlxlUow7U4Zt43blerUIXtSHzgze0u4a26g1UgDg9N6RDaTVkradTncx54K4tAdlw
Q3mZfX3qN14B+jYYNMqiduwmK9sW6fTaFimVB55NoUMQNEd1KrWouraiLs8fh8iifgYfARRvKAPa
OAtxwBXAR/UJnBJiOuRIRyeCVwA3ns7XA0FvlXXo4Y+yVOhoc/RLt6JDG+JO1uvQtjpjJyjhoxBU
vUJnEuJSLksAH21uTYIzSiaccc2uyE0e0gz4DKG+pLy1t60svOjNBC9Coa7hqNgQLezorX3lNWDr
qRb0BNVRhRsntWcz0ljIEJw0OzGBxHgbgeiO0uxoWqSwIEbOkwOtoDk4a3DlAHL1AX6skqzvZBjr
pX4VxfMiI29ifLEmp27WglEJgktprTBDAVtMkWYTQxbClYw/N5HHXtnl2Z42SQ48A2uykbeXvhP4
cIh0BbPAyIqcFIKRU4hVqPWYGCj+wB1MKwZOc1Kpyo7X3tR0EvpxUZAlOHH+NM0IkzaH3uqFI2oG
8ZmAc3kSIIzPXrECjsmFkk7vJzuIS8GIS1SvBu26mQSaUc7G6qJXgFRP0r5NknO0GmB8KrbY1Qo+
SU13tFelWGs+kB8QC/N4ikyUPRnqBt5F1KV2GHF80rm2qoTWU6k1nnPlpt5Il8bIE06gKml8Zllo
XmHXogek5c+xZAOOFs8nn0a71VXqPUPrTd4S6u1BqJvOXKz1KTB7ZNy+6nbYBeb5rIxJ9jqiRcAt
gHui4KbXGuk9eVWK86mp7WcUQKJeO2PrIG1FtnlqcU5A7D0l9Xpu2ulLQSUyDgOUopfZlJkZChsE
3bBtBvbNFDBsnCOIJ3EBdMlSarWlLxHcV/LCITxBHokHqrc+z/mwpZ5FscYoqAKeFnX/uTQJ2KDd
UhBOD9qFLrqYl3ZLjw6hOPiGnNUGVfmskaxd+W9iLNKrmDygg9cJF8KvtOMbRwsKQTcWqXMDZnkT
E393UG6dhpjH9QT4dpzjY3BHg9x3A3T65eiiheT4WFifnI5y7xnOGp+TUpGPpyaYGUEvv01fSMUg
eYHDrfcSG568FWibUJbLsr6KhebQW4HGgGaw5SHoHRX31MvYQq07x4ttRAON+dCJIr23FrGt5ZGs
t7KI7VJboB9oPbn2dclxQOCCSd0zcyg5LwNwJXdYjhxsOIHlJ7bTN/tmMrIjzS0iGvNOw35iMMzr
vSQpDmSU7g2rDoCvd2Rlsqq1baJG2EaohjgHdnrshjNckJuA/t4hr+mrhrR8rOLQFHl+VnbEZi47
qu6OjtXS/qGWgKiJQ1Pp1AElbN+L2LNHkNt7yBEK2nmiCCZ0SZYHL+KkNzpKqn1tdHO91q1uol7i
2VccEgQ2ALtAM923521q+U/wKC5LIVsGUGVD1eY2ac+lajC4RjZ5WTO42imh42zXOjlBlWG1R3Z8
BhtnkVD9qLzELDaTatEiEo3RNavWKNWLAZbM7ZEudHQMHGTJLUPcoYoYs/dzDU97SYJgOcYHJDQV
mI8wgjBBNXdu5HjDW9B7bYtzG/PNRNcQnNhWCOp8gjVlwCroOgnZBjPY7ucJHguBla2CxUqanXIV
eTnsfguJaUh32ovAEVN9xvmxiYB2jakMUIHMaFGZfTI32yaZXch4jbE5jZwTzrOcTvYEPzgyQ0Nl
+tkzuxMOkVS4leiwn6PYybfu0BQ9AuSc5XpTQ1imWeSOZCzwxCWUfjcxUOCT2e6969bqFC3FXsXX
RGEAd5qQ168oHHrtwawzlD5gjHeMD7zZEGm0Lfk9w6bOiVYApN2/WpKozBWqdPsKJvuDXRveF2mL
zRxzeWt/BspOMWW0HmeQd1gBRLMzaNXeCQct+sDG2cfMZdRrg3F2Q48zfoP9MZkr19D6aBU4ebtt
pkoR7DNCI59S67QupJvSJaoOIpfRF332DVxaFPBc5TxEEuIyNaH2vpyMBBaMdE+SQW/uBoAsHg3s
SF0JqrcPLoQ1hGZzyugu0ZZdRjM3U7XoBIlCtwa0ulZ/gX/Plnue+09kCqExAUCErg1dxjNHIoJj
BEq0i851vSvKRmpV4QnZAJiJbxQwkAwy2oQZuwfAxX6jm4oden70RVANTbkSnmjdg1OwhKCUa83z
BMQLBDNthD0xPrRSI4KkoSQZ4bc7rSnR3y6FWn+fpIbNmKGSeuX6SKFYJZ7HFnnkam497cmMRf+k
FvnSqmbm2/uNfxpRru9X1J5zZ9VbZFeE7ITIy2L/2pHLRQXK97oN4g+F0gNNDWOQfDBD89auk+fH
JJ9MDUJf6lkHsonZ7tZyrO7HWkMkafa5op9nWOnDlJMn4w9sQIVEJkWTYKLFUZNmho3H0q6cPHhM
SaMmg6BHDtPbxTVRUZLjWznOwyY3vLTiACCHR3xCBTpHr9U8xJpYevCSxD4NHd84YnoCkC28Zge3
sKLQgq7DpVkfm5dgBX1vZ2QDCcK+ESwRKg4nvMikqZtWnW0g0PYAk+utY9d7TKJesM7cztjOXqvT
k4ESC9fHmKQKZ0toV4Bl8qNhxqCAkM1dG03UmxvqkKFVOZSoqTrFFwNizYea6t8uprVP8cOfw5Io
WYOMDuKMMXBleQhrrSqOjc4XT8Br7+20edSPrI0TXsCEBuMyQ+u3bIS5UmkkL66a61e6tWA8qb2S
I021kwq2hmyceMvcrHdFEcXx56njDEZLTq+yg0NlHApaDmatOZPcpf5ysGqyY825jpptYJSVDwHP
1DznoTQw4zynfuWclGpKtlaAp9JeWTTIRmIFtKhfT0TBxjs/IYptN7fWcF9ScPB22Pv7gSQs02Bc
2DK+mPO8aPI1kYl+dNc2sg0EiYxU3M+0fFZVFIX+jBc3YKNPW8MO2WX0mypWqbMllna8gIGk2ytl
ZMFIM4GLv06txh4/ee+YN/2D+UZKgxhXaZaD5JokRLjsnQ4H+NMJE8ikC+oizzbSNYyTGPUEEkwp
KXjrmSARS+sW2Nw7d87+gNCJdyJdD6HrDVHH4L0W78w6GDPw61KKBM126Beu3cQDQRBv7m/EO/dO
Nu8QvCZqB+MKZ0lx75qRJGh3AeURK60+twPwPGay9El/J+oh9oOuV72T9vJpgrqn4M+Uq6l3oPGZ
72Q+07CWjdA7sS9/p/f1kyT6eUyQ04Evn+9sfSH9oelX91PfjDdEzDYhT016oOul3/XQ1740CyyQ
EQI30EkEpL229DbtO1cwm98hg+U7cdDDTRhcZJzmjqgpncfUNHIqDQuo0H9nFjYkKpyLmc3Jxnin
GsIfF+tcIMhBQ0BryMEH7LHDjxJYWFl9VbOtbpmq8EXREzUm67PzTlEMYifWd2Nd04VBpGVtIkp9
t5DENHmuPiCM70BGxCiqWQBogBrZ4mqY1hZ+Y/eOcqTMFO9qEF2c9wt0qfo2fkc/trmLkqCcI2pK
/AB76I65KIAAOOcsYrO0U5qW71Lt/zd+g68XstgBNpVM5YQPoJ2u3jrqyd0//usDrLz89FKklbwR
/9kv/fEL/fL2/s4fDoYXTrjILa7e6B1U39sRLCzfP9gX3j/R+8f9oxconriq/vXt73/Di+B4VuDj
dtPf/+BgKEQVf/2xFri/olVfol/N337OG353h37vHvzx5X3czD/+nR+u4OkVOv8atipHAPn9LTDI
gv1zN+F/vcQ/b4KzMOKB0HicK9//4P3//iYYhv0rQYhe4HwFifyFLh/LA+6CPzMGfv/yuTp3AZL8
cM0mN8VwaQ2bH7f3L3TNOCoWA9XPXjTfuMPp6n9deOD9alvAeHgqPkY8P/9rjXhzoUj95OXb7q9O
gIBncSi9/7F+/Ppd91fDwyLhuV8fib/cXbAQvPCc/tQgcK1fXQooHsaHjwcfU+QPD4Hl8OBzLCVt
4q82ChDuLMibn7t+51dbt2wbJtHHKMCJ9v31M/ujgrYdy/g6Sj6G3Z+aCv7EL/22llL0Ll7fV9H0
rft3i+3v/cK3BeRff/518Ti8/v1vLJI//N6ypn689T/X2H/8MDu+r2/f/fDbevf+Nl//+dfr+9d3
/uG9vl3Ut7/cp2/tU/uSTO8/mL5+yvOnkrX4v4vnt1YShPHxzstH/1jc/vlJ/v63Hz7nd1//H73w
qk1l2iW/hLhVyuf0h3f4WD9+9h3OnqoUIdIPr/x1lv7Zlz5/G35ZtX3VDelL/v29+ToN/h+8/he2
V68L9euX5X+nT8/t06tof3wv9D7f/uJjT/affBHnguCZxSD6y81by5ciWsb7t5ddvm/T8lwe6p++
JqGefrl+oQrw4zdiQcD7+Vf/gzie7/as/8n9+bMktp98G2aY37H1/uQLXz91+ZN8Sd6Gpx+26VhS
l13Uz36tn3ucEL8NnenbC77PcR+r4c++w3lfPalefv/KX9eZP37lfzcZ/nZK+Ncp8tvu/9/9sx+n
/+U3Xoq3p/Yf/wMAAP//</cx:binary>
              </cx:geoCache>
            </cx:geography>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55585</xdr:colOff>
      <xdr:row>0</xdr:row>
      <xdr:rowOff>16565</xdr:rowOff>
    </xdr:from>
    <xdr:to>
      <xdr:col>29</xdr:col>
      <xdr:colOff>377185</xdr:colOff>
      <xdr:row>54</xdr:row>
      <xdr:rowOff>117416</xdr:rowOff>
    </xdr:to>
    <xdr:grpSp>
      <xdr:nvGrpSpPr>
        <xdr:cNvPr id="4" name="Group 3">
          <a:extLst>
            <a:ext uri="{FF2B5EF4-FFF2-40B4-BE49-F238E27FC236}">
              <a16:creationId xmlns:a16="http://schemas.microsoft.com/office/drawing/2014/main" id="{610520BC-41D0-D2A2-3A9F-5C1354934435}"/>
            </a:ext>
          </a:extLst>
        </xdr:cNvPr>
        <xdr:cNvGrpSpPr/>
      </xdr:nvGrpSpPr>
      <xdr:grpSpPr>
        <a:xfrm>
          <a:off x="55585" y="16565"/>
          <a:ext cx="18000000" cy="10387851"/>
          <a:chOff x="0" y="0"/>
          <a:chExt cx="18000000" cy="10387851"/>
        </a:xfrm>
      </xdr:grpSpPr>
      <xdr:sp macro="" textlink="">
        <xdr:nvSpPr>
          <xdr:cNvPr id="2" name="Rectangle 1">
            <a:extLst>
              <a:ext uri="{FF2B5EF4-FFF2-40B4-BE49-F238E27FC236}">
                <a16:creationId xmlns:a16="http://schemas.microsoft.com/office/drawing/2014/main" id="{9006DAE4-25CD-4536-6971-505F45B2A897}"/>
              </a:ext>
            </a:extLst>
          </xdr:cNvPr>
          <xdr:cNvSpPr/>
        </xdr:nvSpPr>
        <xdr:spPr>
          <a:xfrm>
            <a:off x="0" y="0"/>
            <a:ext cx="18000000" cy="7922558"/>
          </a:xfrm>
          <a:prstGeom prst="rect">
            <a:avLst/>
          </a:prstGeom>
          <a:gradFill flip="none" rotWithShape="1">
            <a:gsLst>
              <a:gs pos="31000">
                <a:srgbClr val="DAE2F8"/>
              </a:gs>
              <a:gs pos="85000">
                <a:srgbClr val="D6A4A4"/>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3" name="Rectangle 2">
            <a:extLst>
              <a:ext uri="{FF2B5EF4-FFF2-40B4-BE49-F238E27FC236}">
                <a16:creationId xmlns:a16="http://schemas.microsoft.com/office/drawing/2014/main" id="{F0551E6F-8E35-4A40-8302-67BB07C85999}"/>
              </a:ext>
            </a:extLst>
          </xdr:cNvPr>
          <xdr:cNvSpPr/>
        </xdr:nvSpPr>
        <xdr:spPr>
          <a:xfrm>
            <a:off x="0" y="3691776"/>
            <a:ext cx="18000000" cy="6696075"/>
          </a:xfrm>
          <a:prstGeom prst="rect">
            <a:avLst/>
          </a:prstGeom>
          <a:gradFill flip="none" rotWithShape="1">
            <a:gsLst>
              <a:gs pos="31000">
                <a:schemeClr val="bg1"/>
              </a:gs>
              <a:gs pos="100000">
                <a:schemeClr val="bg1">
                  <a:alpha val="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grpSp>
    <xdr:clientData/>
  </xdr:twoCellAnchor>
  <xdr:twoCellAnchor>
    <xdr:from>
      <xdr:col>1</xdr:col>
      <xdr:colOff>290889</xdr:colOff>
      <xdr:row>1</xdr:row>
      <xdr:rowOff>109291</xdr:rowOff>
    </xdr:from>
    <xdr:to>
      <xdr:col>27</xdr:col>
      <xdr:colOff>533315</xdr:colOff>
      <xdr:row>40</xdr:row>
      <xdr:rowOff>34793</xdr:rowOff>
    </xdr:to>
    <xdr:grpSp>
      <xdr:nvGrpSpPr>
        <xdr:cNvPr id="11" name="Group 10">
          <a:extLst>
            <a:ext uri="{FF2B5EF4-FFF2-40B4-BE49-F238E27FC236}">
              <a16:creationId xmlns:a16="http://schemas.microsoft.com/office/drawing/2014/main" id="{60F6B8AC-B963-B10A-A42C-8B4477A1BF6B}"/>
            </a:ext>
          </a:extLst>
        </xdr:cNvPr>
        <xdr:cNvGrpSpPr/>
      </xdr:nvGrpSpPr>
      <xdr:grpSpPr>
        <a:xfrm>
          <a:off x="900489" y="299791"/>
          <a:ext cx="16092026" cy="7355002"/>
          <a:chOff x="928686" y="455498"/>
          <a:chExt cx="16341675" cy="7355002"/>
        </a:xfrm>
      </xdr:grpSpPr>
      <xdr:sp macro="" textlink="">
        <xdr:nvSpPr>
          <xdr:cNvPr id="8" name="Rectangle: Top Corners Rounded 7">
            <a:extLst>
              <a:ext uri="{FF2B5EF4-FFF2-40B4-BE49-F238E27FC236}">
                <a16:creationId xmlns:a16="http://schemas.microsoft.com/office/drawing/2014/main" id="{381D6E88-C7CA-7C29-DDA0-BC2BD1F349A4}"/>
              </a:ext>
            </a:extLst>
          </xdr:cNvPr>
          <xdr:cNvSpPr/>
        </xdr:nvSpPr>
        <xdr:spPr>
          <a:xfrm>
            <a:off x="928686" y="455498"/>
            <a:ext cx="16341675" cy="612000"/>
          </a:xfrm>
          <a:prstGeom prst="round2SameRect">
            <a:avLst/>
          </a:pr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10" name="Rectangle 9">
            <a:extLst>
              <a:ext uri="{FF2B5EF4-FFF2-40B4-BE49-F238E27FC236}">
                <a16:creationId xmlns:a16="http://schemas.microsoft.com/office/drawing/2014/main" id="{2176127F-610C-C9B5-4748-F5B39EA46802}"/>
              </a:ext>
            </a:extLst>
          </xdr:cNvPr>
          <xdr:cNvSpPr/>
        </xdr:nvSpPr>
        <xdr:spPr>
          <a:xfrm>
            <a:off x="928686" y="1067820"/>
            <a:ext cx="16340400" cy="6742680"/>
          </a:xfrm>
          <a:prstGeom prst="rect">
            <a:avLst/>
          </a:prstGeom>
          <a:gradFill flip="none" rotWithShape="1">
            <a:gsLst>
              <a:gs pos="10000">
                <a:schemeClr val="bg1">
                  <a:alpha val="15000"/>
                </a:schemeClr>
              </a:gs>
              <a:gs pos="100000">
                <a:schemeClr val="bg1"/>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grpSp>
    <xdr:clientData/>
  </xdr:twoCellAnchor>
  <xdr:twoCellAnchor>
    <xdr:from>
      <xdr:col>6</xdr:col>
      <xdr:colOff>269501</xdr:colOff>
      <xdr:row>24</xdr:row>
      <xdr:rowOff>4481</xdr:rowOff>
    </xdr:from>
    <xdr:to>
      <xdr:col>11</xdr:col>
      <xdr:colOff>250450</xdr:colOff>
      <xdr:row>26</xdr:row>
      <xdr:rowOff>150025</xdr:rowOff>
    </xdr:to>
    <xdr:sp macro="" textlink="">
      <xdr:nvSpPr>
        <xdr:cNvPr id="113" name="Rectangle 101">
          <a:extLst>
            <a:ext uri="{FF2B5EF4-FFF2-40B4-BE49-F238E27FC236}">
              <a16:creationId xmlns:a16="http://schemas.microsoft.com/office/drawing/2014/main" id="{31E4E354-5CA0-4127-B7FE-B56C1B0858CA}"/>
            </a:ext>
          </a:extLst>
        </xdr:cNvPr>
        <xdr:cNvSpPr/>
      </xdr:nvSpPr>
      <xdr:spPr>
        <a:xfrm>
          <a:off x="3927101" y="4576481"/>
          <a:ext cx="3028949" cy="526544"/>
        </a:xfrm>
        <a:prstGeom prst="rect">
          <a:avLst/>
        </a:prstGeom>
        <a:gradFill flip="none" rotWithShape="1">
          <a:gsLst>
            <a:gs pos="31000">
              <a:schemeClr val="accent5">
                <a:lumMod val="20000"/>
                <a:lumOff val="80000"/>
                <a:alpha val="50000"/>
              </a:schemeClr>
            </a:gs>
            <a:gs pos="100000">
              <a:srgbClr val="DAE2F8"/>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xdr:col>
      <xdr:colOff>449036</xdr:colOff>
      <xdr:row>1</xdr:row>
      <xdr:rowOff>163286</xdr:rowOff>
    </xdr:from>
    <xdr:to>
      <xdr:col>7</xdr:col>
      <xdr:colOff>258536</xdr:colOff>
      <xdr:row>4</xdr:row>
      <xdr:rowOff>0</xdr:rowOff>
    </xdr:to>
    <xdr:sp macro="" textlink="">
      <xdr:nvSpPr>
        <xdr:cNvPr id="12" name="TextBox 11">
          <a:extLst>
            <a:ext uri="{FF2B5EF4-FFF2-40B4-BE49-F238E27FC236}">
              <a16:creationId xmlns:a16="http://schemas.microsoft.com/office/drawing/2014/main" id="{69C9E088-705E-37B9-CC42-BA69AC8D1C81}"/>
            </a:ext>
          </a:extLst>
        </xdr:cNvPr>
        <xdr:cNvSpPr txBox="1"/>
      </xdr:nvSpPr>
      <xdr:spPr>
        <a:xfrm>
          <a:off x="1061357" y="353786"/>
          <a:ext cx="3483429" cy="4082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800" b="1">
              <a:latin typeface="Calibri" panose="020F0502020204030204" pitchFamily="34" charset="0"/>
              <a:cs typeface="Calibri" panose="020F0502020204030204" pitchFamily="34" charset="0"/>
            </a:rPr>
            <a:t>Supply</a:t>
          </a:r>
          <a:r>
            <a:rPr lang="pl-PL" sz="1800" b="1" baseline="0">
              <a:latin typeface="Calibri" panose="020F0502020204030204" pitchFamily="34" charset="0"/>
              <a:cs typeface="Calibri" panose="020F0502020204030204" pitchFamily="34" charset="0"/>
            </a:rPr>
            <a:t> Chain and Freight Analytics</a:t>
          </a:r>
          <a:endParaRPr lang="pl-PL" sz="1800" b="1">
            <a:latin typeface="Calibri" panose="020F0502020204030204" pitchFamily="34" charset="0"/>
            <a:cs typeface="Calibri" panose="020F0502020204030204" pitchFamily="34" charset="0"/>
          </a:endParaRPr>
        </a:p>
      </xdr:txBody>
    </xdr:sp>
    <xdr:clientData/>
  </xdr:twoCellAnchor>
  <xdr:twoCellAnchor>
    <xdr:from>
      <xdr:col>2</xdr:col>
      <xdr:colOff>579531</xdr:colOff>
      <xdr:row>5</xdr:row>
      <xdr:rowOff>100924</xdr:rowOff>
    </xdr:from>
    <xdr:to>
      <xdr:col>5</xdr:col>
      <xdr:colOff>52724</xdr:colOff>
      <xdr:row>7</xdr:row>
      <xdr:rowOff>157656</xdr:rowOff>
    </xdr:to>
    <xdr:sp macro="" textlink="'Pivot Tables'!C5">
      <xdr:nvSpPr>
        <xdr:cNvPr id="13" name="TextBox 12">
          <a:extLst>
            <a:ext uri="{FF2B5EF4-FFF2-40B4-BE49-F238E27FC236}">
              <a16:creationId xmlns:a16="http://schemas.microsoft.com/office/drawing/2014/main" id="{0514AA27-E3C1-E2AD-DE2E-541665D69BEE}"/>
            </a:ext>
          </a:extLst>
        </xdr:cNvPr>
        <xdr:cNvSpPr txBox="1"/>
      </xdr:nvSpPr>
      <xdr:spPr>
        <a:xfrm>
          <a:off x="1802742" y="1053424"/>
          <a:ext cx="1308008" cy="437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8AE7A6-3522-4BF5-84AA-67F6C7F067D8}" type="TxLink">
            <a:rPr lang="en-US" sz="2200" b="1" i="0" u="none" strike="noStrike">
              <a:solidFill>
                <a:srgbClr val="000000"/>
              </a:solidFill>
              <a:latin typeface="Calibri" panose="020F0502020204030204" pitchFamily="34" charset="0"/>
              <a:cs typeface="Calibri" panose="020F0502020204030204" pitchFamily="34" charset="0"/>
            </a:rPr>
            <a:pPr/>
            <a:t>$264 193</a:t>
          </a:fld>
          <a:endParaRPr lang="pl-PL" sz="2200" b="1">
            <a:latin typeface="Calibri" panose="020F0502020204030204" pitchFamily="34" charset="0"/>
            <a:cs typeface="Calibri" panose="020F0502020204030204" pitchFamily="34" charset="0"/>
          </a:endParaRPr>
        </a:p>
      </xdr:txBody>
    </xdr:sp>
    <xdr:clientData/>
  </xdr:twoCellAnchor>
  <xdr:twoCellAnchor>
    <xdr:from>
      <xdr:col>3</xdr:col>
      <xdr:colOff>17711</xdr:colOff>
      <xdr:row>7</xdr:row>
      <xdr:rowOff>20867</xdr:rowOff>
    </xdr:from>
    <xdr:to>
      <xdr:col>5</xdr:col>
      <xdr:colOff>59871</xdr:colOff>
      <xdr:row>8</xdr:row>
      <xdr:rowOff>103816</xdr:rowOff>
    </xdr:to>
    <xdr:sp macro="" textlink="'Pivot Tables'!C5">
      <xdr:nvSpPr>
        <xdr:cNvPr id="14" name="TextBox 13">
          <a:extLst>
            <a:ext uri="{FF2B5EF4-FFF2-40B4-BE49-F238E27FC236}">
              <a16:creationId xmlns:a16="http://schemas.microsoft.com/office/drawing/2014/main" id="{D2FF75F1-2937-4D74-A3FD-34F0BA5B42CA}"/>
            </a:ext>
          </a:extLst>
        </xdr:cNvPr>
        <xdr:cNvSpPr txBox="1"/>
      </xdr:nvSpPr>
      <xdr:spPr>
        <a:xfrm>
          <a:off x="1846511" y="1354367"/>
          <a:ext cx="1261360" cy="273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200" b="1" i="0" u="none" strike="noStrike">
              <a:solidFill>
                <a:schemeClr val="bg2">
                  <a:lumMod val="50000"/>
                </a:schemeClr>
              </a:solidFill>
              <a:latin typeface="Calibri" panose="020F0502020204030204" pitchFamily="34" charset="0"/>
              <a:cs typeface="Calibri" panose="020F0502020204030204" pitchFamily="34" charset="0"/>
            </a:rPr>
            <a:t>Monthly Balance</a:t>
          </a:r>
          <a:endParaRPr lang="pl-PL" sz="1200">
            <a:solidFill>
              <a:schemeClr val="bg2">
                <a:lumMod val="50000"/>
              </a:schemeClr>
            </a:solidFill>
            <a:latin typeface="Calibri" panose="020F0502020204030204" pitchFamily="34" charset="0"/>
            <a:cs typeface="Calibri" panose="020F0502020204030204" pitchFamily="34" charset="0"/>
          </a:endParaRPr>
        </a:p>
      </xdr:txBody>
    </xdr:sp>
    <xdr:clientData/>
  </xdr:twoCellAnchor>
  <xdr:twoCellAnchor>
    <xdr:from>
      <xdr:col>2</xdr:col>
      <xdr:colOff>215566</xdr:colOff>
      <xdr:row>6</xdr:row>
      <xdr:rowOff>32348</xdr:rowOff>
    </xdr:from>
    <xdr:to>
      <xdr:col>2</xdr:col>
      <xdr:colOff>600539</xdr:colOff>
      <xdr:row>8</xdr:row>
      <xdr:rowOff>40531</xdr:rowOff>
    </xdr:to>
    <xdr:sp macro="" textlink="">
      <xdr:nvSpPr>
        <xdr:cNvPr id="15" name="Rectangle: Rounded Corners 14">
          <a:extLst>
            <a:ext uri="{FF2B5EF4-FFF2-40B4-BE49-F238E27FC236}">
              <a16:creationId xmlns:a16="http://schemas.microsoft.com/office/drawing/2014/main" id="{ACE57DFB-9F07-F7CC-3F61-4015622C7ADA}"/>
            </a:ext>
          </a:extLst>
        </xdr:cNvPr>
        <xdr:cNvSpPr/>
      </xdr:nvSpPr>
      <xdr:spPr>
        <a:xfrm>
          <a:off x="1438777" y="1175348"/>
          <a:ext cx="384973" cy="389183"/>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oneCell">
    <xdr:from>
      <xdr:col>2</xdr:col>
      <xdr:colOff>266463</xdr:colOff>
      <xdr:row>6</xdr:row>
      <xdr:rowOff>59467</xdr:rowOff>
    </xdr:from>
    <xdr:to>
      <xdr:col>2</xdr:col>
      <xdr:colOff>560284</xdr:colOff>
      <xdr:row>8</xdr:row>
      <xdr:rowOff>10646</xdr:rowOff>
    </xdr:to>
    <xdr:pic>
      <xdr:nvPicPr>
        <xdr:cNvPr id="17" name="Graphic 16" descr="Dollar with solid fill">
          <a:extLst>
            <a:ext uri="{FF2B5EF4-FFF2-40B4-BE49-F238E27FC236}">
              <a16:creationId xmlns:a16="http://schemas.microsoft.com/office/drawing/2014/main" id="{EEDD3B07-2550-42BC-81CC-94F1A85B5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9674" y="1202467"/>
          <a:ext cx="293821" cy="332179"/>
        </a:xfrm>
        <a:prstGeom prst="rect">
          <a:avLst/>
        </a:prstGeom>
      </xdr:spPr>
    </xdr:pic>
    <xdr:clientData/>
  </xdr:twoCellAnchor>
  <xdr:twoCellAnchor>
    <xdr:from>
      <xdr:col>2</xdr:col>
      <xdr:colOff>139530</xdr:colOff>
      <xdr:row>8</xdr:row>
      <xdr:rowOff>19772</xdr:rowOff>
    </xdr:from>
    <xdr:to>
      <xdr:col>5</xdr:col>
      <xdr:colOff>241492</xdr:colOff>
      <xdr:row>9</xdr:row>
      <xdr:rowOff>103557</xdr:rowOff>
    </xdr:to>
    <xdr:grpSp>
      <xdr:nvGrpSpPr>
        <xdr:cNvPr id="21" name="Group 20">
          <a:extLst>
            <a:ext uri="{FF2B5EF4-FFF2-40B4-BE49-F238E27FC236}">
              <a16:creationId xmlns:a16="http://schemas.microsoft.com/office/drawing/2014/main" id="{7EC4D094-4C91-9DBD-CB78-CF2D20B8429D}"/>
            </a:ext>
          </a:extLst>
        </xdr:cNvPr>
        <xdr:cNvGrpSpPr/>
      </xdr:nvGrpSpPr>
      <xdr:grpSpPr>
        <a:xfrm>
          <a:off x="1358730" y="1543772"/>
          <a:ext cx="1930762" cy="274285"/>
          <a:chOff x="1384747" y="1618108"/>
          <a:chExt cx="1723097" cy="274285"/>
        </a:xfrm>
      </xdr:grpSpPr>
      <xdr:sp macro="" textlink="'Pivot Tables'!C5">
        <xdr:nvSpPr>
          <xdr:cNvPr id="18" name="TextBox 17">
            <a:extLst>
              <a:ext uri="{FF2B5EF4-FFF2-40B4-BE49-F238E27FC236}">
                <a16:creationId xmlns:a16="http://schemas.microsoft.com/office/drawing/2014/main" id="{5D02C757-98A6-4DD8-BE66-278769951BB4}"/>
              </a:ext>
            </a:extLst>
          </xdr:cNvPr>
          <xdr:cNvSpPr txBox="1"/>
        </xdr:nvSpPr>
        <xdr:spPr>
          <a:xfrm>
            <a:off x="1384747" y="1618108"/>
            <a:ext cx="925137" cy="273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200" b="1" i="0" u="none" strike="noStrike">
                <a:solidFill>
                  <a:schemeClr val="bg2">
                    <a:lumMod val="50000"/>
                  </a:schemeClr>
                </a:solidFill>
                <a:latin typeface="Calibri" panose="020F0502020204030204" pitchFamily="34" charset="0"/>
                <a:cs typeface="Calibri" panose="020F0502020204030204" pitchFamily="34" charset="0"/>
              </a:rPr>
              <a:t>Year</a:t>
            </a:r>
            <a:r>
              <a:rPr lang="pl-PL" sz="1200" b="1" i="0" u="none" strike="noStrike" baseline="0">
                <a:solidFill>
                  <a:schemeClr val="bg2">
                    <a:lumMod val="50000"/>
                  </a:schemeClr>
                </a:solidFill>
                <a:latin typeface="Calibri" panose="020F0502020204030204" pitchFamily="34" charset="0"/>
                <a:cs typeface="Calibri" panose="020F0502020204030204" pitchFamily="34" charset="0"/>
              </a:rPr>
              <a:t> To Date</a:t>
            </a:r>
            <a:endParaRPr lang="pl-PL" sz="1200">
              <a:solidFill>
                <a:schemeClr val="bg2">
                  <a:lumMod val="50000"/>
                </a:schemeClr>
              </a:solidFill>
              <a:latin typeface="Calibri" panose="020F0502020204030204" pitchFamily="34" charset="0"/>
              <a:cs typeface="Calibri" panose="020F0502020204030204" pitchFamily="34" charset="0"/>
            </a:endParaRPr>
          </a:p>
        </xdr:txBody>
      </xdr:sp>
      <xdr:sp macro="" textlink="'Pivot Tables'!G5">
        <xdr:nvSpPr>
          <xdr:cNvPr id="20" name="TextBox 19">
            <a:extLst>
              <a:ext uri="{FF2B5EF4-FFF2-40B4-BE49-F238E27FC236}">
                <a16:creationId xmlns:a16="http://schemas.microsoft.com/office/drawing/2014/main" id="{650B0BF6-5B88-49E3-A01A-92BF3B7E5019}"/>
              </a:ext>
            </a:extLst>
          </xdr:cNvPr>
          <xdr:cNvSpPr txBox="1"/>
        </xdr:nvSpPr>
        <xdr:spPr>
          <a:xfrm>
            <a:off x="2183636" y="1618944"/>
            <a:ext cx="924208" cy="273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757F4C-5B2F-492C-92A3-002922B2F5AB}" type="TxLink">
              <a:rPr lang="en-US" sz="1200" b="1" i="0" u="none" strike="noStrike">
                <a:solidFill>
                  <a:schemeClr val="bg2">
                    <a:lumMod val="50000"/>
                  </a:schemeClr>
                </a:solidFill>
                <a:latin typeface="Calibri" panose="020F0502020204030204" pitchFamily="34" charset="0"/>
                <a:cs typeface="Calibri" panose="020F0502020204030204" pitchFamily="34" charset="0"/>
              </a:rPr>
              <a:pPr/>
              <a:t>$264 193</a:t>
            </a:fld>
            <a:endParaRPr lang="pl-PL" sz="1200">
              <a:solidFill>
                <a:schemeClr val="bg2">
                  <a:lumMod val="50000"/>
                </a:schemeClr>
              </a:solidFill>
              <a:latin typeface="Calibri" panose="020F0502020204030204" pitchFamily="34" charset="0"/>
              <a:cs typeface="Calibri" panose="020F0502020204030204" pitchFamily="34" charset="0"/>
            </a:endParaRPr>
          </a:p>
        </xdr:txBody>
      </xdr:sp>
    </xdr:grpSp>
    <xdr:clientData/>
  </xdr:twoCellAnchor>
  <xdr:twoCellAnchor>
    <xdr:from>
      <xdr:col>5</xdr:col>
      <xdr:colOff>493058</xdr:colOff>
      <xdr:row>10</xdr:row>
      <xdr:rowOff>168648</xdr:rowOff>
    </xdr:from>
    <xdr:to>
      <xdr:col>8</xdr:col>
      <xdr:colOff>423705</xdr:colOff>
      <xdr:row>20</xdr:row>
      <xdr:rowOff>128448</xdr:rowOff>
    </xdr:to>
    <xdr:grpSp>
      <xdr:nvGrpSpPr>
        <xdr:cNvPr id="28" name="Group 27">
          <a:extLst>
            <a:ext uri="{FF2B5EF4-FFF2-40B4-BE49-F238E27FC236}">
              <a16:creationId xmlns:a16="http://schemas.microsoft.com/office/drawing/2014/main" id="{860E8F15-9C06-05E9-4D4E-BD16E1490EF3}"/>
            </a:ext>
          </a:extLst>
        </xdr:cNvPr>
        <xdr:cNvGrpSpPr/>
      </xdr:nvGrpSpPr>
      <xdr:grpSpPr>
        <a:xfrm>
          <a:off x="3541058" y="2073648"/>
          <a:ext cx="1759447" cy="1864800"/>
          <a:chOff x="3551084" y="1568823"/>
          <a:chExt cx="1765463" cy="1864800"/>
        </a:xfrm>
      </xdr:grpSpPr>
      <xdr:sp macro="" textlink="">
        <xdr:nvSpPr>
          <xdr:cNvPr id="22" name="Rectangle: Rounded Corners 21">
            <a:extLst>
              <a:ext uri="{FF2B5EF4-FFF2-40B4-BE49-F238E27FC236}">
                <a16:creationId xmlns:a16="http://schemas.microsoft.com/office/drawing/2014/main" id="{E7DE0169-5C63-B6FD-68D0-C3F4A395D553}"/>
              </a:ext>
            </a:extLst>
          </xdr:cNvPr>
          <xdr:cNvSpPr/>
        </xdr:nvSpPr>
        <xdr:spPr>
          <a:xfrm>
            <a:off x="3551084" y="1568823"/>
            <a:ext cx="1765463" cy="1864800"/>
          </a:xfrm>
          <a:prstGeom prst="roundRect">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Pivot Tables'!A5">
        <xdr:nvSpPr>
          <xdr:cNvPr id="23" name="TextBox 22">
            <a:extLst>
              <a:ext uri="{FF2B5EF4-FFF2-40B4-BE49-F238E27FC236}">
                <a16:creationId xmlns:a16="http://schemas.microsoft.com/office/drawing/2014/main" id="{6BEEA18C-2F3E-4870-AD23-76EBC2157EC7}"/>
              </a:ext>
            </a:extLst>
          </xdr:cNvPr>
          <xdr:cNvSpPr txBox="1"/>
        </xdr:nvSpPr>
        <xdr:spPr>
          <a:xfrm>
            <a:off x="3595908" y="2562313"/>
            <a:ext cx="1314497" cy="437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D81986-2B10-440C-9AF3-0985A546292C}" type="TxLink">
              <a:rPr lang="en-US" sz="2000" b="1" i="0" u="none" strike="noStrike">
                <a:solidFill>
                  <a:srgbClr val="000000"/>
                </a:solidFill>
                <a:latin typeface="Calibri" panose="020F0502020204030204" pitchFamily="34" charset="0"/>
                <a:ea typeface="+mn-ea"/>
                <a:cs typeface="Calibri" panose="020F0502020204030204" pitchFamily="34" charset="0"/>
              </a:rPr>
              <a:pPr marL="0" indent="0"/>
              <a:t>$359 038</a:t>
            </a:fld>
            <a:endParaRPr lang="pl-PL" sz="2000" b="1" i="0" u="none" strike="noStrike">
              <a:solidFill>
                <a:srgbClr val="000000"/>
              </a:solidFill>
              <a:latin typeface="Calibri" panose="020F0502020204030204" pitchFamily="34" charset="0"/>
              <a:ea typeface="+mn-ea"/>
              <a:cs typeface="Calibri" panose="020F0502020204030204" pitchFamily="34" charset="0"/>
            </a:endParaRPr>
          </a:p>
        </xdr:txBody>
      </xdr:sp>
      <xdr:sp macro="" textlink="'Pivot Tables'!A6">
        <xdr:nvSpPr>
          <xdr:cNvPr id="24" name="TextBox 23">
            <a:extLst>
              <a:ext uri="{FF2B5EF4-FFF2-40B4-BE49-F238E27FC236}">
                <a16:creationId xmlns:a16="http://schemas.microsoft.com/office/drawing/2014/main" id="{0E9A065D-ED87-465A-8254-0120C88B3C71}"/>
              </a:ext>
            </a:extLst>
          </xdr:cNvPr>
          <xdr:cNvSpPr txBox="1"/>
        </xdr:nvSpPr>
        <xdr:spPr>
          <a:xfrm>
            <a:off x="3602631" y="2871595"/>
            <a:ext cx="1314497" cy="437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CF62963-2EC8-4826-B088-E1F5020461DC}" type="TxLink">
              <a:rPr lang="en-US" sz="1600" b="1" i="0" u="none" strike="noStrike">
                <a:solidFill>
                  <a:schemeClr val="bg2">
                    <a:lumMod val="50000"/>
                  </a:schemeClr>
                </a:solidFill>
                <a:latin typeface="Calibri" panose="020F0502020204030204" pitchFamily="34" charset="0"/>
                <a:ea typeface="+mn-ea"/>
                <a:cs typeface="Calibri" panose="020F0502020204030204" pitchFamily="34" charset="0"/>
              </a:rPr>
              <a:pPr marL="0" indent="0"/>
              <a:t>79%</a:t>
            </a:fld>
            <a:endParaRPr lang="pl-PL" sz="1600" b="1" i="0" u="none" strike="noStrike">
              <a:solidFill>
                <a:schemeClr val="bg2">
                  <a:lumMod val="50000"/>
                </a:schemeClr>
              </a:solidFill>
              <a:latin typeface="Calibri" panose="020F0502020204030204" pitchFamily="34" charset="0"/>
              <a:ea typeface="+mn-ea"/>
              <a:cs typeface="Calibri" panose="020F0502020204030204" pitchFamily="34" charset="0"/>
            </a:endParaRPr>
          </a:p>
        </xdr:txBody>
      </xdr:sp>
      <xdr:sp macro="" textlink="">
        <xdr:nvSpPr>
          <xdr:cNvPr id="26" name="Rectangle 25">
            <a:extLst>
              <a:ext uri="{FF2B5EF4-FFF2-40B4-BE49-F238E27FC236}">
                <a16:creationId xmlns:a16="http://schemas.microsoft.com/office/drawing/2014/main" id="{203B01ED-8FCB-4EC3-9EF2-6D8B04993FB1}"/>
              </a:ext>
            </a:extLst>
          </xdr:cNvPr>
          <xdr:cNvSpPr/>
        </xdr:nvSpPr>
        <xdr:spPr>
          <a:xfrm>
            <a:off x="3674253" y="1857375"/>
            <a:ext cx="1041562" cy="303960"/>
          </a:xfrm>
          <a:prstGeom prst="roundRect">
            <a:avLst/>
          </a:prstGeom>
          <a:gradFill flip="none" rotWithShape="1">
            <a:gsLst>
              <a:gs pos="58000">
                <a:schemeClr val="accent6">
                  <a:lumMod val="20000"/>
                  <a:lumOff val="80000"/>
                </a:schemeClr>
              </a:gs>
              <a:gs pos="18000">
                <a:schemeClr val="accent6">
                  <a:lumMod val="5000"/>
                  <a:lumOff val="95000"/>
                </a:schemeClr>
              </a:gs>
              <a:gs pos="100000">
                <a:schemeClr val="accent6">
                  <a:lumMod val="75000"/>
                </a:schemeClr>
              </a:gs>
              <a:gs pos="100000">
                <a:schemeClr val="accent6">
                  <a:lumMod val="75000"/>
                </a:schemeClr>
              </a:gs>
              <a:gs pos="100000">
                <a:schemeClr val="accent6">
                  <a:lumMod val="75000"/>
                </a:schemeClr>
              </a:gs>
            </a:gsLst>
            <a:lin ang="4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27" name="TextBox 26">
            <a:extLst>
              <a:ext uri="{FF2B5EF4-FFF2-40B4-BE49-F238E27FC236}">
                <a16:creationId xmlns:a16="http://schemas.microsoft.com/office/drawing/2014/main" id="{D34329C4-889F-ED9C-AC18-B442A1616D5B}"/>
              </a:ext>
            </a:extLst>
          </xdr:cNvPr>
          <xdr:cNvSpPr txBox="1"/>
        </xdr:nvSpPr>
        <xdr:spPr>
          <a:xfrm>
            <a:off x="3675450" y="1852337"/>
            <a:ext cx="802241" cy="29674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l-PL" sz="1400" b="1" i="0" u="none" strike="noStrike">
                <a:solidFill>
                  <a:schemeClr val="accent6">
                    <a:lumMod val="75000"/>
                  </a:schemeClr>
                </a:solidFill>
                <a:latin typeface="Calibri" panose="020F0502020204030204" pitchFamily="34" charset="0"/>
                <a:ea typeface="+mn-ea"/>
                <a:cs typeface="Calibri" panose="020F0502020204030204" pitchFamily="34" charset="0"/>
              </a:rPr>
              <a:t>Income</a:t>
            </a:r>
          </a:p>
        </xdr:txBody>
      </xdr:sp>
    </xdr:grpSp>
    <xdr:clientData/>
  </xdr:twoCellAnchor>
  <xdr:twoCellAnchor>
    <xdr:from>
      <xdr:col>9</xdr:col>
      <xdr:colOff>40340</xdr:colOff>
      <xdr:row>10</xdr:row>
      <xdr:rowOff>152960</xdr:rowOff>
    </xdr:from>
    <xdr:to>
      <xdr:col>11</xdr:col>
      <xdr:colOff>576105</xdr:colOff>
      <xdr:row>20</xdr:row>
      <xdr:rowOff>112760</xdr:rowOff>
    </xdr:to>
    <xdr:grpSp>
      <xdr:nvGrpSpPr>
        <xdr:cNvPr id="29" name="Group 28">
          <a:extLst>
            <a:ext uri="{FF2B5EF4-FFF2-40B4-BE49-F238E27FC236}">
              <a16:creationId xmlns:a16="http://schemas.microsoft.com/office/drawing/2014/main" id="{E830D335-15F4-4E33-ACB2-94C7CEAFAD40}"/>
            </a:ext>
          </a:extLst>
        </xdr:cNvPr>
        <xdr:cNvGrpSpPr/>
      </xdr:nvGrpSpPr>
      <xdr:grpSpPr>
        <a:xfrm>
          <a:off x="5526740" y="2057960"/>
          <a:ext cx="1754965" cy="1864800"/>
          <a:chOff x="3551084" y="1568823"/>
          <a:chExt cx="1765463" cy="1864800"/>
        </a:xfrm>
      </xdr:grpSpPr>
      <xdr:sp macro="" textlink="">
        <xdr:nvSpPr>
          <xdr:cNvPr id="30" name="Rectangle: Rounded Corners 29">
            <a:extLst>
              <a:ext uri="{FF2B5EF4-FFF2-40B4-BE49-F238E27FC236}">
                <a16:creationId xmlns:a16="http://schemas.microsoft.com/office/drawing/2014/main" id="{C45BAE56-CF1E-D807-46EF-84D772320CBD}"/>
              </a:ext>
            </a:extLst>
          </xdr:cNvPr>
          <xdr:cNvSpPr/>
        </xdr:nvSpPr>
        <xdr:spPr>
          <a:xfrm>
            <a:off x="3551084" y="1568823"/>
            <a:ext cx="1765463" cy="1864800"/>
          </a:xfrm>
          <a:prstGeom prst="roundRect">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Pivot Tables'!B5">
        <xdr:nvSpPr>
          <xdr:cNvPr id="31" name="TextBox 30">
            <a:extLst>
              <a:ext uri="{FF2B5EF4-FFF2-40B4-BE49-F238E27FC236}">
                <a16:creationId xmlns:a16="http://schemas.microsoft.com/office/drawing/2014/main" id="{F9D9DF9C-4A70-A3D4-7802-7AECFD6F370E}"/>
              </a:ext>
            </a:extLst>
          </xdr:cNvPr>
          <xdr:cNvSpPr txBox="1"/>
        </xdr:nvSpPr>
        <xdr:spPr>
          <a:xfrm>
            <a:off x="3595908" y="2562313"/>
            <a:ext cx="1314497" cy="437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2119A35-F78E-4CFF-993E-3161BE489095}" type="TxLink">
              <a:rPr lang="en-US" sz="2000" b="1" i="0" u="none" strike="noStrike">
                <a:solidFill>
                  <a:srgbClr val="000000"/>
                </a:solidFill>
                <a:latin typeface="Calibri" panose="020F0502020204030204" pitchFamily="34" charset="0"/>
                <a:ea typeface="+mn-ea"/>
                <a:cs typeface="Calibri" panose="020F0502020204030204" pitchFamily="34" charset="0"/>
              </a:rPr>
              <a:pPr marL="0" indent="0"/>
              <a:t>$94 845</a:t>
            </a:fld>
            <a:endParaRPr lang="pl-PL" sz="3600" b="1" i="0" u="none" strike="noStrike">
              <a:solidFill>
                <a:srgbClr val="000000"/>
              </a:solidFill>
              <a:latin typeface="Calibri" panose="020F0502020204030204" pitchFamily="34" charset="0"/>
              <a:ea typeface="+mn-ea"/>
              <a:cs typeface="Calibri" panose="020F0502020204030204" pitchFamily="34" charset="0"/>
            </a:endParaRPr>
          </a:p>
        </xdr:txBody>
      </xdr:sp>
      <xdr:sp macro="" textlink="'Pivot Tables'!B6">
        <xdr:nvSpPr>
          <xdr:cNvPr id="32" name="TextBox 31">
            <a:extLst>
              <a:ext uri="{FF2B5EF4-FFF2-40B4-BE49-F238E27FC236}">
                <a16:creationId xmlns:a16="http://schemas.microsoft.com/office/drawing/2014/main" id="{C6B86CE2-B07B-9433-410F-0CF4D4961E08}"/>
              </a:ext>
            </a:extLst>
          </xdr:cNvPr>
          <xdr:cNvSpPr txBox="1"/>
        </xdr:nvSpPr>
        <xdr:spPr>
          <a:xfrm>
            <a:off x="3602631" y="2871595"/>
            <a:ext cx="1314497" cy="437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3EE5674-2E04-4F8A-9B9D-33C44154B216}" type="TxLink">
              <a:rPr lang="en-US" sz="1600" b="1" i="0" u="none" strike="noStrike">
                <a:solidFill>
                  <a:schemeClr val="bg2">
                    <a:lumMod val="50000"/>
                  </a:schemeClr>
                </a:solidFill>
                <a:latin typeface="Calibri" panose="020F0502020204030204" pitchFamily="34" charset="0"/>
                <a:ea typeface="+mn-ea"/>
                <a:cs typeface="Calibri" panose="020F0502020204030204" pitchFamily="34" charset="0"/>
              </a:rPr>
              <a:pPr marL="0" indent="0"/>
              <a:t>21%</a:t>
            </a:fld>
            <a:endParaRPr lang="pl-PL" sz="2000" b="1" i="0" u="none" strike="noStrike">
              <a:solidFill>
                <a:schemeClr val="bg2">
                  <a:lumMod val="50000"/>
                </a:schemeClr>
              </a:solidFill>
              <a:latin typeface="Calibri" panose="020F0502020204030204" pitchFamily="34" charset="0"/>
              <a:ea typeface="+mn-ea"/>
              <a:cs typeface="Calibri" panose="020F0502020204030204" pitchFamily="34" charset="0"/>
            </a:endParaRPr>
          </a:p>
        </xdr:txBody>
      </xdr:sp>
      <xdr:sp macro="" textlink="">
        <xdr:nvSpPr>
          <xdr:cNvPr id="33" name="Rectangle 32">
            <a:extLst>
              <a:ext uri="{FF2B5EF4-FFF2-40B4-BE49-F238E27FC236}">
                <a16:creationId xmlns:a16="http://schemas.microsoft.com/office/drawing/2014/main" id="{8974325C-9DF5-74CD-46D3-BA2238077B92}"/>
              </a:ext>
            </a:extLst>
          </xdr:cNvPr>
          <xdr:cNvSpPr/>
        </xdr:nvSpPr>
        <xdr:spPr>
          <a:xfrm>
            <a:off x="3674253" y="1857375"/>
            <a:ext cx="1041562" cy="303960"/>
          </a:xfrm>
          <a:prstGeom prst="roundRect">
            <a:avLst/>
          </a:prstGeom>
          <a:gradFill flip="none" rotWithShape="1">
            <a:gsLst>
              <a:gs pos="0">
                <a:schemeClr val="accent2">
                  <a:lumMod val="0"/>
                  <a:lumOff val="100000"/>
                </a:schemeClr>
              </a:gs>
              <a:gs pos="29000">
                <a:schemeClr val="accent2">
                  <a:lumMod val="0"/>
                  <a:lumOff val="100000"/>
                </a:schemeClr>
              </a:gs>
              <a:gs pos="73000">
                <a:schemeClr val="accent2">
                  <a:lumMod val="60000"/>
                  <a:lumOff val="40000"/>
                </a:schemeClr>
              </a:gs>
              <a:gs pos="100000">
                <a:schemeClr val="accent2">
                  <a:lumMod val="100000"/>
                </a:schemeClr>
              </a:gs>
            </a:gsLst>
            <a:lin ang="4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34" name="TextBox 33">
            <a:extLst>
              <a:ext uri="{FF2B5EF4-FFF2-40B4-BE49-F238E27FC236}">
                <a16:creationId xmlns:a16="http://schemas.microsoft.com/office/drawing/2014/main" id="{543A9176-E930-5B3B-32B7-CF0E71F41E44}"/>
              </a:ext>
            </a:extLst>
          </xdr:cNvPr>
          <xdr:cNvSpPr txBox="1"/>
        </xdr:nvSpPr>
        <xdr:spPr>
          <a:xfrm>
            <a:off x="3675450" y="1852337"/>
            <a:ext cx="917247"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l-PL" sz="1400" b="1" i="0" u="none" strike="noStrike">
                <a:solidFill>
                  <a:srgbClr val="FF5C00"/>
                </a:solidFill>
                <a:latin typeface="Calibri" panose="020F0502020204030204" pitchFamily="34" charset="0"/>
                <a:ea typeface="+mn-ea"/>
                <a:cs typeface="Calibri" panose="020F0502020204030204" pitchFamily="34" charset="0"/>
              </a:rPr>
              <a:t>Expenses</a:t>
            </a:r>
          </a:p>
        </xdr:txBody>
      </xdr:sp>
    </xdr:grpSp>
    <xdr:clientData/>
  </xdr:twoCellAnchor>
  <xdr:twoCellAnchor>
    <xdr:from>
      <xdr:col>12</xdr:col>
      <xdr:colOff>159121</xdr:colOff>
      <xdr:row>10</xdr:row>
      <xdr:rowOff>103934</xdr:rowOff>
    </xdr:from>
    <xdr:to>
      <xdr:col>23</xdr:col>
      <xdr:colOff>291352</xdr:colOff>
      <xdr:row>20</xdr:row>
      <xdr:rowOff>63734</xdr:rowOff>
    </xdr:to>
    <xdr:sp macro="" textlink="">
      <xdr:nvSpPr>
        <xdr:cNvPr id="35" name="Rectangle: Rounded Corners 34">
          <a:extLst>
            <a:ext uri="{FF2B5EF4-FFF2-40B4-BE49-F238E27FC236}">
              <a16:creationId xmlns:a16="http://schemas.microsoft.com/office/drawing/2014/main" id="{DB3463A5-D22C-4FDF-8569-FB1D516F7B59}"/>
            </a:ext>
          </a:extLst>
        </xdr:cNvPr>
        <xdr:cNvSpPr/>
      </xdr:nvSpPr>
      <xdr:spPr>
        <a:xfrm>
          <a:off x="7474321" y="2008934"/>
          <a:ext cx="6837831" cy="1864800"/>
        </a:xfrm>
        <a:prstGeom prst="roundRect">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12</xdr:col>
      <xdr:colOff>314325</xdr:colOff>
      <xdr:row>11</xdr:row>
      <xdr:rowOff>76200</xdr:rowOff>
    </xdr:from>
    <xdr:to>
      <xdr:col>23</xdr:col>
      <xdr:colOff>95250</xdr:colOff>
      <xdr:row>19</xdr:row>
      <xdr:rowOff>157442</xdr:rowOff>
    </xdr:to>
    <xdr:graphicFrame macro="">
      <xdr:nvGraphicFramePr>
        <xdr:cNvPr id="37" name="Chart 36">
          <a:extLst>
            <a:ext uri="{FF2B5EF4-FFF2-40B4-BE49-F238E27FC236}">
              <a16:creationId xmlns:a16="http://schemas.microsoft.com/office/drawing/2014/main" id="{5AF46E76-9E44-485C-A06F-769B3CEE5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250657</xdr:colOff>
      <xdr:row>9</xdr:row>
      <xdr:rowOff>170448</xdr:rowOff>
    </xdr:from>
    <xdr:to>
      <xdr:col>5</xdr:col>
      <xdr:colOff>200527</xdr:colOff>
      <xdr:row>9</xdr:row>
      <xdr:rowOff>170448</xdr:rowOff>
    </xdr:to>
    <xdr:cxnSp macro="">
      <xdr:nvCxnSpPr>
        <xdr:cNvPr id="6" name="Straight Connector 5">
          <a:extLst>
            <a:ext uri="{FF2B5EF4-FFF2-40B4-BE49-F238E27FC236}">
              <a16:creationId xmlns:a16="http://schemas.microsoft.com/office/drawing/2014/main" id="{AFF9099F-BF8D-B29F-113C-2868EF098A95}"/>
            </a:ext>
          </a:extLst>
        </xdr:cNvPr>
        <xdr:cNvCxnSpPr/>
      </xdr:nvCxnSpPr>
      <xdr:spPr>
        <a:xfrm>
          <a:off x="1473868" y="1884948"/>
          <a:ext cx="1784685"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149168</xdr:colOff>
      <xdr:row>11</xdr:row>
      <xdr:rowOff>37078</xdr:rowOff>
    </xdr:from>
    <xdr:to>
      <xdr:col>4</xdr:col>
      <xdr:colOff>410308</xdr:colOff>
      <xdr:row>12</xdr:row>
      <xdr:rowOff>120027</xdr:rowOff>
    </xdr:to>
    <xdr:sp macro="" textlink="'Pivot Tables'!$L$4">
      <xdr:nvSpPr>
        <xdr:cNvPr id="19" name="TextBox 18">
          <a:extLst>
            <a:ext uri="{FF2B5EF4-FFF2-40B4-BE49-F238E27FC236}">
              <a16:creationId xmlns:a16="http://schemas.microsoft.com/office/drawing/2014/main" id="{CD7436A2-57AE-4039-A05B-9AE8011F7567}"/>
            </a:ext>
          </a:extLst>
        </xdr:cNvPr>
        <xdr:cNvSpPr txBox="1"/>
      </xdr:nvSpPr>
      <xdr:spPr>
        <a:xfrm>
          <a:off x="1365437" y="2132578"/>
          <a:ext cx="1477409" cy="273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80C6E69-57C5-43B4-B395-47A5817F101C}" type="TxLink">
            <a:rPr lang="en-US" sz="1200" b="1" i="0" u="none" strike="noStrike">
              <a:solidFill>
                <a:srgbClr val="000000"/>
              </a:solidFill>
              <a:latin typeface="Calibri" panose="020F0502020204030204" pitchFamily="34" charset="0"/>
              <a:cs typeface="Calibri" panose="020F0502020204030204" pitchFamily="34" charset="0"/>
            </a:rPr>
            <a:pPr/>
            <a:t>Retaining Customer</a:t>
          </a:fld>
          <a:endParaRPr lang="pl-PL" sz="1400" b="1">
            <a:solidFill>
              <a:schemeClr val="bg2">
                <a:lumMod val="50000"/>
              </a:schemeClr>
            </a:solidFill>
            <a:latin typeface="Calibri" panose="020F0502020204030204" pitchFamily="34" charset="0"/>
            <a:cs typeface="Calibri" panose="020F0502020204030204" pitchFamily="34" charset="0"/>
          </a:endParaRPr>
        </a:p>
      </xdr:txBody>
    </xdr:sp>
    <xdr:clientData/>
  </xdr:twoCellAnchor>
  <xdr:twoCellAnchor>
    <xdr:from>
      <xdr:col>2</xdr:col>
      <xdr:colOff>155030</xdr:colOff>
      <xdr:row>13</xdr:row>
      <xdr:rowOff>6304</xdr:rowOff>
    </xdr:from>
    <xdr:to>
      <xdr:col>4</xdr:col>
      <xdr:colOff>416170</xdr:colOff>
      <xdr:row>14</xdr:row>
      <xdr:rowOff>89253</xdr:rowOff>
    </xdr:to>
    <xdr:sp macro="" textlink="'Pivot Tables'!$K$4">
      <xdr:nvSpPr>
        <xdr:cNvPr id="25" name="TextBox 24">
          <a:extLst>
            <a:ext uri="{FF2B5EF4-FFF2-40B4-BE49-F238E27FC236}">
              <a16:creationId xmlns:a16="http://schemas.microsoft.com/office/drawing/2014/main" id="{67EB53A3-1597-4645-8CFE-9CBA2A9E14B9}"/>
            </a:ext>
          </a:extLst>
        </xdr:cNvPr>
        <xdr:cNvSpPr txBox="1"/>
      </xdr:nvSpPr>
      <xdr:spPr>
        <a:xfrm>
          <a:off x="1371299" y="2482804"/>
          <a:ext cx="1477409" cy="273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3D1F98-7F49-4673-9632-8D5F90E62702}" type="TxLink">
            <a:rPr lang="en-US" sz="1200" b="1" i="0" u="none" strike="noStrike">
              <a:solidFill>
                <a:srgbClr val="000000"/>
              </a:solidFill>
              <a:latin typeface="Calibri" panose="020F0502020204030204" pitchFamily="34" charset="0"/>
              <a:cs typeface="Calibri" panose="020F0502020204030204" pitchFamily="34" charset="0"/>
            </a:rPr>
            <a:pPr/>
            <a:t>New Customer</a:t>
          </a:fld>
          <a:endParaRPr lang="pl-PL" sz="1600" b="1">
            <a:solidFill>
              <a:schemeClr val="bg2">
                <a:lumMod val="50000"/>
              </a:schemeClr>
            </a:solidFill>
            <a:latin typeface="Calibri" panose="020F0502020204030204" pitchFamily="34" charset="0"/>
            <a:cs typeface="Calibri" panose="020F0502020204030204" pitchFamily="34" charset="0"/>
          </a:endParaRPr>
        </a:p>
      </xdr:txBody>
    </xdr:sp>
    <xdr:clientData/>
  </xdr:twoCellAnchor>
  <xdr:twoCellAnchor>
    <xdr:from>
      <xdr:col>4</xdr:col>
      <xdr:colOff>375046</xdr:colOff>
      <xdr:row>11</xdr:row>
      <xdr:rowOff>26964</xdr:rowOff>
    </xdr:from>
    <xdr:to>
      <xdr:col>5</xdr:col>
      <xdr:colOff>208359</xdr:colOff>
      <xdr:row>12</xdr:row>
      <xdr:rowOff>140424</xdr:rowOff>
    </xdr:to>
    <xdr:sp macro="" textlink="">
      <xdr:nvSpPr>
        <xdr:cNvPr id="39" name="Rectangle 38">
          <a:extLst>
            <a:ext uri="{FF2B5EF4-FFF2-40B4-BE49-F238E27FC236}">
              <a16:creationId xmlns:a16="http://schemas.microsoft.com/office/drawing/2014/main" id="{B694E5C7-A646-42EB-A71A-9CC94310B845}"/>
            </a:ext>
          </a:extLst>
        </xdr:cNvPr>
        <xdr:cNvSpPr/>
      </xdr:nvSpPr>
      <xdr:spPr>
        <a:xfrm>
          <a:off x="2803921" y="2122464"/>
          <a:ext cx="440532" cy="303960"/>
        </a:xfrm>
        <a:prstGeom prst="roundRect">
          <a:avLst/>
        </a:prstGeom>
        <a:gradFill flip="none" rotWithShape="1">
          <a:gsLst>
            <a:gs pos="0">
              <a:srgbClr val="DAE2F8"/>
            </a:gs>
            <a:gs pos="100000">
              <a:schemeClr val="bg1"/>
            </a:gs>
            <a:gs pos="100000">
              <a:srgbClr val="EFEFF4"/>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4</xdr:col>
      <xdr:colOff>378618</xdr:colOff>
      <xdr:row>12</xdr:row>
      <xdr:rowOff>179364</xdr:rowOff>
    </xdr:from>
    <xdr:to>
      <xdr:col>5</xdr:col>
      <xdr:colOff>211931</xdr:colOff>
      <xdr:row>14</xdr:row>
      <xdr:rowOff>102324</xdr:rowOff>
    </xdr:to>
    <xdr:sp macro="" textlink="">
      <xdr:nvSpPr>
        <xdr:cNvPr id="40" name="Rectangle 39">
          <a:extLst>
            <a:ext uri="{FF2B5EF4-FFF2-40B4-BE49-F238E27FC236}">
              <a16:creationId xmlns:a16="http://schemas.microsoft.com/office/drawing/2014/main" id="{F831849F-7530-4266-965B-7CB93A86C2AD}"/>
            </a:ext>
          </a:extLst>
        </xdr:cNvPr>
        <xdr:cNvSpPr/>
      </xdr:nvSpPr>
      <xdr:spPr>
        <a:xfrm>
          <a:off x="2807493" y="2465364"/>
          <a:ext cx="440532" cy="303960"/>
        </a:xfrm>
        <a:prstGeom prst="roundRect">
          <a:avLst/>
        </a:prstGeom>
        <a:gradFill flip="none" rotWithShape="1">
          <a:gsLst>
            <a:gs pos="0">
              <a:srgbClr val="DAE2F8"/>
            </a:gs>
            <a:gs pos="100000">
              <a:schemeClr val="bg1"/>
            </a:gs>
            <a:gs pos="100000">
              <a:srgbClr val="EFEFF4"/>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4</xdr:col>
      <xdr:colOff>401398</xdr:colOff>
      <xdr:row>11</xdr:row>
      <xdr:rowOff>42939</xdr:rowOff>
    </xdr:from>
    <xdr:to>
      <xdr:col>5</xdr:col>
      <xdr:colOff>173099</xdr:colOff>
      <xdr:row>12</xdr:row>
      <xdr:rowOff>125888</xdr:rowOff>
    </xdr:to>
    <xdr:sp macro="" textlink="'Pivot Tables'!$L$10">
      <xdr:nvSpPr>
        <xdr:cNvPr id="36" name="TextBox 35">
          <a:extLst>
            <a:ext uri="{FF2B5EF4-FFF2-40B4-BE49-F238E27FC236}">
              <a16:creationId xmlns:a16="http://schemas.microsoft.com/office/drawing/2014/main" id="{1C21E0E1-97A6-44FD-98AA-0F571748ECBB}"/>
            </a:ext>
          </a:extLst>
        </xdr:cNvPr>
        <xdr:cNvSpPr txBox="1"/>
      </xdr:nvSpPr>
      <xdr:spPr>
        <a:xfrm>
          <a:off x="2830273" y="2138439"/>
          <a:ext cx="378920" cy="273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0C85DAF-E122-495D-9009-8BF1CE12907A}" type="TxLink">
            <a:rPr lang="en-US" sz="1400" b="1" i="0" u="none" strike="noStrike">
              <a:solidFill>
                <a:srgbClr val="000000"/>
              </a:solidFill>
              <a:latin typeface="Calibri" panose="020F0502020204030204" pitchFamily="34" charset="0"/>
              <a:cs typeface="Calibri" panose="020F0502020204030204" pitchFamily="34" charset="0"/>
            </a:rPr>
            <a:pPr/>
            <a:t>50   </a:t>
          </a:fld>
          <a:endParaRPr lang="pl-PL" sz="1800" b="1">
            <a:solidFill>
              <a:schemeClr val="bg2">
                <a:lumMod val="50000"/>
              </a:schemeClr>
            </a:solidFill>
            <a:latin typeface="Calibri" panose="020F0502020204030204" pitchFamily="34" charset="0"/>
            <a:cs typeface="Calibri" panose="020F0502020204030204" pitchFamily="34" charset="0"/>
          </a:endParaRPr>
        </a:p>
      </xdr:txBody>
    </xdr:sp>
    <xdr:clientData/>
  </xdr:twoCellAnchor>
  <xdr:twoCellAnchor>
    <xdr:from>
      <xdr:col>4</xdr:col>
      <xdr:colOff>401815</xdr:colOff>
      <xdr:row>13</xdr:row>
      <xdr:rowOff>10490</xdr:rowOff>
    </xdr:from>
    <xdr:to>
      <xdr:col>5</xdr:col>
      <xdr:colOff>173516</xdr:colOff>
      <xdr:row>14</xdr:row>
      <xdr:rowOff>93439</xdr:rowOff>
    </xdr:to>
    <xdr:sp macro="" textlink="'Pivot Tables'!$L$9">
      <xdr:nvSpPr>
        <xdr:cNvPr id="38" name="TextBox 37">
          <a:extLst>
            <a:ext uri="{FF2B5EF4-FFF2-40B4-BE49-F238E27FC236}">
              <a16:creationId xmlns:a16="http://schemas.microsoft.com/office/drawing/2014/main" id="{E8749208-1A08-4C36-BE72-7C204A1350E7}"/>
            </a:ext>
          </a:extLst>
        </xdr:cNvPr>
        <xdr:cNvSpPr txBox="1"/>
      </xdr:nvSpPr>
      <xdr:spPr>
        <a:xfrm>
          <a:off x="2830690" y="2486990"/>
          <a:ext cx="378920" cy="273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A9220EB-5952-43C9-A1A2-4A5567694C20}" type="TxLink">
            <a:rPr lang="en-US" sz="1400" b="1" i="0" u="none" strike="noStrike">
              <a:solidFill>
                <a:srgbClr val="000000"/>
              </a:solidFill>
              <a:latin typeface="Calibri" panose="020F0502020204030204" pitchFamily="34" charset="0"/>
              <a:ea typeface="+mn-ea"/>
              <a:cs typeface="Calibri" panose="020F0502020204030204" pitchFamily="34" charset="0"/>
            </a:rPr>
            <a:pPr marL="0" indent="0"/>
            <a:t>11   </a:t>
          </a:fld>
          <a:endParaRPr lang="pl-PL" sz="14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6</xdr:col>
      <xdr:colOff>38100</xdr:colOff>
      <xdr:row>4</xdr:row>
      <xdr:rowOff>152400</xdr:rowOff>
    </xdr:from>
    <xdr:to>
      <xdr:col>23</xdr:col>
      <xdr:colOff>312859</xdr:colOff>
      <xdr:row>9</xdr:row>
      <xdr:rowOff>123825</xdr:rowOff>
    </xdr:to>
    <xdr:sp macro="" textlink="">
      <xdr:nvSpPr>
        <xdr:cNvPr id="78" name="Rectangle: Rounded Corners 77">
          <a:extLst>
            <a:ext uri="{FF2B5EF4-FFF2-40B4-BE49-F238E27FC236}">
              <a16:creationId xmlns:a16="http://schemas.microsoft.com/office/drawing/2014/main" id="{B3FF97E7-BA2D-4777-AF10-AC1E4C7C3825}"/>
            </a:ext>
          </a:extLst>
        </xdr:cNvPr>
        <xdr:cNvSpPr/>
      </xdr:nvSpPr>
      <xdr:spPr>
        <a:xfrm>
          <a:off x="3695700" y="914400"/>
          <a:ext cx="10637959" cy="923925"/>
        </a:xfrm>
        <a:prstGeom prst="roundRect">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oneCell">
    <xdr:from>
      <xdr:col>6</xdr:col>
      <xdr:colOff>295275</xdr:colOff>
      <xdr:row>5</xdr:row>
      <xdr:rowOff>62080</xdr:rowOff>
    </xdr:from>
    <xdr:to>
      <xdr:col>23</xdr:col>
      <xdr:colOff>19050</xdr:colOff>
      <xdr:row>9</xdr:row>
      <xdr:rowOff>38099</xdr:rowOff>
    </xdr:to>
    <mc:AlternateContent xmlns:mc="http://schemas.openxmlformats.org/markup-compatibility/2006" xmlns:a14="http://schemas.microsoft.com/office/drawing/2010/main">
      <mc:Choice Requires="a14">
        <xdr:graphicFrame macro="">
          <xdr:nvGraphicFramePr>
            <xdr:cNvPr id="5" name="Month 1">
              <a:extLst>
                <a:ext uri="{FF2B5EF4-FFF2-40B4-BE49-F238E27FC236}">
                  <a16:creationId xmlns:a16="http://schemas.microsoft.com/office/drawing/2014/main" id="{54CB49D8-01FA-4752-B522-D072A62FA5F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952875" y="1014580"/>
              <a:ext cx="10086975" cy="738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507065</xdr:colOff>
      <xdr:row>28</xdr:row>
      <xdr:rowOff>47211</xdr:rowOff>
    </xdr:from>
    <xdr:to>
      <xdr:col>5</xdr:col>
      <xdr:colOff>304801</xdr:colOff>
      <xdr:row>36</xdr:row>
      <xdr:rowOff>104360</xdr:rowOff>
    </xdr:to>
    <mc:AlternateContent xmlns:mc="http://schemas.openxmlformats.org/markup-compatibility/2006" xmlns:a14="http://schemas.microsoft.com/office/drawing/2010/main">
      <mc:Choice Requires="a14">
        <xdr:graphicFrame macro="">
          <xdr:nvGraphicFramePr>
            <xdr:cNvPr id="7" name="Driver Name 1">
              <a:extLst>
                <a:ext uri="{FF2B5EF4-FFF2-40B4-BE49-F238E27FC236}">
                  <a16:creationId xmlns:a16="http://schemas.microsoft.com/office/drawing/2014/main" id="{BE123376-9B8A-49BC-83EB-251E9F09826E}"/>
                </a:ext>
              </a:extLst>
            </xdr:cNvPr>
            <xdr:cNvGraphicFramePr/>
          </xdr:nvGraphicFramePr>
          <xdr:xfrm>
            <a:off x="0" y="0"/>
            <a:ext cx="0" cy="0"/>
          </xdr:xfrm>
          <a:graphic>
            <a:graphicData uri="http://schemas.microsoft.com/office/drawing/2010/slicer">
              <sle:slicer xmlns:sle="http://schemas.microsoft.com/office/drawing/2010/slicer" name="Driver Name 1"/>
            </a:graphicData>
          </a:graphic>
        </xdr:graphicFrame>
      </mc:Choice>
      <mc:Fallback xmlns="">
        <xdr:sp macro="" textlink="">
          <xdr:nvSpPr>
            <xdr:cNvPr id="0" name=""/>
            <xdr:cNvSpPr>
              <a:spLocks noTextEdit="1"/>
            </xdr:cNvSpPr>
          </xdr:nvSpPr>
          <xdr:spPr>
            <a:xfrm>
              <a:off x="1116665" y="5381211"/>
              <a:ext cx="2236136" cy="1581149"/>
            </a:xfrm>
            <a:prstGeom prst="rect">
              <a:avLst/>
            </a:prstGeom>
            <a:solidFill>
              <a:prstClr val="white"/>
            </a:solidFill>
            <a:ln w="1">
              <a:solidFill>
                <a:prstClr val="green"/>
              </a:solidFill>
            </a:ln>
          </xdr:spPr>
          <xdr:txBody>
            <a:bodyPr vertOverflow="clip" horzOverflow="clip"/>
            <a:lstStyle/>
            <a:p>
              <a:r>
                <a:rPr lang="pl-PL" sz="1100"/>
                <a:t>Ten kształt odzwierciedla fragmentator. Fragmentatory są obsługiwane w programie Excel 2010 i nowszych wersjach.
Jeśli kształt został zmodyfikowany w starszej wersji programu Excel lub jeśli skoroszyt został zapisany w programie Excel 2003 albo starszej wersji, korzystanie z fragmentatora jest niemożliwe.</a:t>
              </a:r>
            </a:p>
          </xdr:txBody>
        </xdr:sp>
      </mc:Fallback>
    </mc:AlternateContent>
    <xdr:clientData/>
  </xdr:twoCellAnchor>
  <xdr:twoCellAnchor>
    <xdr:from>
      <xdr:col>21</xdr:col>
      <xdr:colOff>272252</xdr:colOff>
      <xdr:row>10</xdr:row>
      <xdr:rowOff>128111</xdr:rowOff>
    </xdr:from>
    <xdr:to>
      <xdr:col>22</xdr:col>
      <xdr:colOff>574574</xdr:colOff>
      <xdr:row>12</xdr:row>
      <xdr:rowOff>43852</xdr:rowOff>
    </xdr:to>
    <xdr:sp macro="" textlink="">
      <xdr:nvSpPr>
        <xdr:cNvPr id="82" name="TextBox 81">
          <a:extLst>
            <a:ext uri="{FF2B5EF4-FFF2-40B4-BE49-F238E27FC236}">
              <a16:creationId xmlns:a16="http://schemas.microsoft.com/office/drawing/2014/main" id="{9A4A76C6-08CC-4727-A9BA-18C328DD259D}"/>
            </a:ext>
          </a:extLst>
        </xdr:cNvPr>
        <xdr:cNvSpPr txBox="1"/>
      </xdr:nvSpPr>
      <xdr:spPr>
        <a:xfrm>
          <a:off x="13143426" y="2033111"/>
          <a:ext cx="915235"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l-PL" sz="1400" b="1" i="0" u="none" strike="noStrike">
              <a:solidFill>
                <a:srgbClr val="FFC000"/>
              </a:solidFill>
              <a:latin typeface="Calibri" panose="020F0502020204030204" pitchFamily="34" charset="0"/>
              <a:ea typeface="+mn-ea"/>
              <a:cs typeface="Calibri" panose="020F0502020204030204" pitchFamily="34" charset="0"/>
            </a:rPr>
            <a:t>Balance</a:t>
          </a:r>
        </a:p>
      </xdr:txBody>
    </xdr:sp>
    <xdr:clientData/>
  </xdr:twoCellAnchor>
  <xdr:twoCellAnchor>
    <xdr:from>
      <xdr:col>1</xdr:col>
      <xdr:colOff>472537</xdr:colOff>
      <xdr:row>15</xdr:row>
      <xdr:rowOff>1</xdr:rowOff>
    </xdr:from>
    <xdr:to>
      <xdr:col>5</xdr:col>
      <xdr:colOff>327877</xdr:colOff>
      <xdr:row>27</xdr:row>
      <xdr:rowOff>0</xdr:rowOff>
    </xdr:to>
    <xdr:grpSp>
      <xdr:nvGrpSpPr>
        <xdr:cNvPr id="84" name="Group 83">
          <a:extLst>
            <a:ext uri="{FF2B5EF4-FFF2-40B4-BE49-F238E27FC236}">
              <a16:creationId xmlns:a16="http://schemas.microsoft.com/office/drawing/2014/main" id="{F39F46C9-1C8A-4B94-82F3-415D3A061A6E}"/>
            </a:ext>
          </a:extLst>
        </xdr:cNvPr>
        <xdr:cNvGrpSpPr/>
      </xdr:nvGrpSpPr>
      <xdr:grpSpPr>
        <a:xfrm>
          <a:off x="1082137" y="2857501"/>
          <a:ext cx="2293740" cy="2285999"/>
          <a:chOff x="14482492" y="1527430"/>
          <a:chExt cx="2492089" cy="1618215"/>
        </a:xfrm>
      </xdr:grpSpPr>
      <xdr:sp macro="" textlink="">
        <xdr:nvSpPr>
          <xdr:cNvPr id="85" name="Rectangle: Rounded Corners 84">
            <a:extLst>
              <a:ext uri="{FF2B5EF4-FFF2-40B4-BE49-F238E27FC236}">
                <a16:creationId xmlns:a16="http://schemas.microsoft.com/office/drawing/2014/main" id="{876F75B9-8179-1CC4-C1D5-AB1E6F2B483B}"/>
              </a:ext>
            </a:extLst>
          </xdr:cNvPr>
          <xdr:cNvSpPr/>
        </xdr:nvSpPr>
        <xdr:spPr>
          <a:xfrm>
            <a:off x="14482492" y="1527430"/>
            <a:ext cx="2492089" cy="1618215"/>
          </a:xfrm>
          <a:prstGeom prst="roundRect">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86" name="TextBox 85">
            <a:extLst>
              <a:ext uri="{FF2B5EF4-FFF2-40B4-BE49-F238E27FC236}">
                <a16:creationId xmlns:a16="http://schemas.microsoft.com/office/drawing/2014/main" id="{9A87C539-6274-178B-A157-31B631CC46AC}"/>
              </a:ext>
            </a:extLst>
          </xdr:cNvPr>
          <xdr:cNvSpPr txBox="1"/>
        </xdr:nvSpPr>
        <xdr:spPr>
          <a:xfrm>
            <a:off x="14546914" y="1589735"/>
            <a:ext cx="1551871"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l-PL" sz="1400" b="1" i="0" u="none" strike="noStrike">
                <a:solidFill>
                  <a:schemeClr val="tx1"/>
                </a:solidFill>
                <a:latin typeface="Calibri" panose="020F0502020204030204" pitchFamily="34" charset="0"/>
                <a:ea typeface="+mn-ea"/>
                <a:cs typeface="Calibri" panose="020F0502020204030204" pitchFamily="34" charset="0"/>
              </a:rPr>
              <a:t>Driver</a:t>
            </a:r>
            <a:r>
              <a:rPr lang="pl-PL" sz="1400" b="1" i="0" u="none" strike="noStrike" baseline="0">
                <a:solidFill>
                  <a:schemeClr val="tx1"/>
                </a:solidFill>
                <a:latin typeface="Calibri" panose="020F0502020204030204" pitchFamily="34" charset="0"/>
                <a:ea typeface="+mn-ea"/>
                <a:cs typeface="Calibri" panose="020F0502020204030204" pitchFamily="34" charset="0"/>
              </a:rPr>
              <a:t> Payroll</a:t>
            </a:r>
            <a:endParaRPr lang="pl-PL" sz="1400" b="1" i="0" u="none" strike="noStrike">
              <a:solidFill>
                <a:schemeClr val="tx1"/>
              </a:solidFill>
              <a:latin typeface="Calibri" panose="020F0502020204030204" pitchFamily="34" charset="0"/>
              <a:ea typeface="+mn-ea"/>
              <a:cs typeface="Calibri" panose="020F0502020204030204" pitchFamily="34" charset="0"/>
            </a:endParaRPr>
          </a:p>
        </xdr:txBody>
      </xdr:sp>
      <xdr:cxnSp macro="">
        <xdr:nvCxnSpPr>
          <xdr:cNvPr id="93" name="Straight Connector 92">
            <a:extLst>
              <a:ext uri="{FF2B5EF4-FFF2-40B4-BE49-F238E27FC236}">
                <a16:creationId xmlns:a16="http://schemas.microsoft.com/office/drawing/2014/main" id="{DF40AB34-D748-430F-886B-18F24FA83C87}"/>
              </a:ext>
            </a:extLst>
          </xdr:cNvPr>
          <xdr:cNvCxnSpPr/>
        </xdr:nvCxnSpPr>
        <xdr:spPr>
          <a:xfrm>
            <a:off x="14576768" y="2574836"/>
            <a:ext cx="2246917"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92" name="Straight Connector 91">
            <a:extLst>
              <a:ext uri="{FF2B5EF4-FFF2-40B4-BE49-F238E27FC236}">
                <a16:creationId xmlns:a16="http://schemas.microsoft.com/office/drawing/2014/main" id="{010A7881-0326-B080-9A19-638F144215D1}"/>
              </a:ext>
            </a:extLst>
          </xdr:cNvPr>
          <xdr:cNvCxnSpPr/>
        </xdr:nvCxnSpPr>
        <xdr:spPr>
          <a:xfrm>
            <a:off x="14576769" y="2322802"/>
            <a:ext cx="2246917"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91" name="Straight Connector 90">
            <a:extLst>
              <a:ext uri="{FF2B5EF4-FFF2-40B4-BE49-F238E27FC236}">
                <a16:creationId xmlns:a16="http://schemas.microsoft.com/office/drawing/2014/main" id="{DA33730A-780B-D1B7-CC41-E0D3AF16ECC3}"/>
              </a:ext>
            </a:extLst>
          </xdr:cNvPr>
          <xdr:cNvCxnSpPr/>
        </xdr:nvCxnSpPr>
        <xdr:spPr>
          <a:xfrm>
            <a:off x="14576769" y="2082970"/>
            <a:ext cx="2246916"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3</xdr:col>
      <xdr:colOff>595593</xdr:colOff>
      <xdr:row>17</xdr:row>
      <xdr:rowOff>8284</xdr:rowOff>
    </xdr:from>
    <xdr:to>
      <xdr:col>5</xdr:col>
      <xdr:colOff>6569</xdr:colOff>
      <xdr:row>18</xdr:row>
      <xdr:rowOff>181550</xdr:rowOff>
    </xdr:to>
    <xdr:sp macro="" textlink="'Pivot Tables'!Q32">
      <xdr:nvSpPr>
        <xdr:cNvPr id="101" name="TextBox 100">
          <a:extLst>
            <a:ext uri="{FF2B5EF4-FFF2-40B4-BE49-F238E27FC236}">
              <a16:creationId xmlns:a16="http://schemas.microsoft.com/office/drawing/2014/main" id="{98C2FBF4-4356-4FCD-8D7B-5F9870420E3A}"/>
            </a:ext>
          </a:extLst>
        </xdr:cNvPr>
        <xdr:cNvSpPr txBox="1"/>
      </xdr:nvSpPr>
      <xdr:spPr>
        <a:xfrm>
          <a:off x="2428334" y="3246784"/>
          <a:ext cx="632804" cy="363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1D3DA85-4A32-4CBF-9289-5F5E7AADB2EB}" type="TxLink">
            <a:rPr lang="en-US" sz="1100" b="0" i="0" u="none" strike="noStrike">
              <a:solidFill>
                <a:srgbClr val="000000"/>
              </a:solidFill>
              <a:latin typeface="Aptos Narrow"/>
              <a:ea typeface="+mn-ea"/>
              <a:cs typeface="Calibri" panose="020F0502020204030204" pitchFamily="34" charset="0"/>
            </a:rPr>
            <a:pPr marL="0" indent="0"/>
            <a:t> </a:t>
          </a:fld>
          <a:endParaRPr lang="pl-PL" sz="1800" b="1"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1</xdr:col>
      <xdr:colOff>470948</xdr:colOff>
      <xdr:row>17</xdr:row>
      <xdr:rowOff>139381</xdr:rowOff>
    </xdr:from>
    <xdr:to>
      <xdr:col>2</xdr:col>
      <xdr:colOff>366421</xdr:colOff>
      <xdr:row>19</xdr:row>
      <xdr:rowOff>55122</xdr:rowOff>
    </xdr:to>
    <xdr:sp macro="" textlink="'Pivot Tables'!P30">
      <xdr:nvSpPr>
        <xdr:cNvPr id="9" name="TextBox 8">
          <a:extLst>
            <a:ext uri="{FF2B5EF4-FFF2-40B4-BE49-F238E27FC236}">
              <a16:creationId xmlns:a16="http://schemas.microsoft.com/office/drawing/2014/main" id="{3DC1D7E7-4EB8-477D-82E2-B0D386EAA0C1}"/>
            </a:ext>
          </a:extLst>
        </xdr:cNvPr>
        <xdr:cNvSpPr txBox="1"/>
      </xdr:nvSpPr>
      <xdr:spPr>
        <a:xfrm>
          <a:off x="1082553" y="3377881"/>
          <a:ext cx="507079"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9012C6-1C82-472C-9C26-F466373E58E8}" type="TxLink">
            <a:rPr lang="en-US" sz="1100" b="0" i="0" u="none" strike="noStrike">
              <a:solidFill>
                <a:srgbClr val="000000"/>
              </a:solidFill>
              <a:latin typeface="Calibri" panose="020F0502020204030204" pitchFamily="34" charset="0"/>
              <a:ea typeface="+mn-ea"/>
              <a:cs typeface="Calibri" panose="020F0502020204030204" pitchFamily="34" charset="0"/>
            </a:rPr>
            <a:pPr marL="0" indent="0"/>
            <a:t>Miles</a:t>
          </a:fld>
          <a:endParaRPr lang="pl-PL" sz="14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1</xdr:col>
      <xdr:colOff>470948</xdr:colOff>
      <xdr:row>19</xdr:row>
      <xdr:rowOff>82971</xdr:rowOff>
    </xdr:from>
    <xdr:to>
      <xdr:col>3</xdr:col>
      <xdr:colOff>187136</xdr:colOff>
      <xdr:row>20</xdr:row>
      <xdr:rowOff>189212</xdr:rowOff>
    </xdr:to>
    <xdr:sp macro="" textlink="'Pivot Tables'!Q30">
      <xdr:nvSpPr>
        <xdr:cNvPr id="44" name="TextBox 43">
          <a:extLst>
            <a:ext uri="{FF2B5EF4-FFF2-40B4-BE49-F238E27FC236}">
              <a16:creationId xmlns:a16="http://schemas.microsoft.com/office/drawing/2014/main" id="{1A0313E1-25EF-A6BC-A95C-9982342A760D}"/>
            </a:ext>
          </a:extLst>
        </xdr:cNvPr>
        <xdr:cNvSpPr txBox="1"/>
      </xdr:nvSpPr>
      <xdr:spPr>
        <a:xfrm>
          <a:off x="1079558" y="3702471"/>
          <a:ext cx="933409"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6D2A01-6CA7-4900-A5D5-7950442C2C69}" type="TxLink">
            <a:rPr lang="en-US" sz="1100" b="0" i="0" u="none" strike="noStrike">
              <a:solidFill>
                <a:srgbClr val="000000"/>
              </a:solidFill>
              <a:latin typeface="Calibri" panose="020F0502020204030204" pitchFamily="34" charset="0"/>
              <a:ea typeface="+mn-ea"/>
              <a:cs typeface="Calibri" panose="020F0502020204030204" pitchFamily="34" charset="0"/>
            </a:rPr>
            <a:pPr marL="0" indent="0"/>
            <a:t>Mileage</a:t>
          </a:fld>
          <a:endParaRPr lang="pl-PL" sz="14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1</xdr:col>
      <xdr:colOff>470948</xdr:colOff>
      <xdr:row>24</xdr:row>
      <xdr:rowOff>122040</xdr:rowOff>
    </xdr:from>
    <xdr:to>
      <xdr:col>3</xdr:col>
      <xdr:colOff>414007</xdr:colOff>
      <xdr:row>26</xdr:row>
      <xdr:rowOff>37781</xdr:rowOff>
    </xdr:to>
    <xdr:sp macro="" textlink="'Pivot Tables'!T30">
      <xdr:nvSpPr>
        <xdr:cNvPr id="50" name="TextBox 49">
          <a:extLst>
            <a:ext uri="{FF2B5EF4-FFF2-40B4-BE49-F238E27FC236}">
              <a16:creationId xmlns:a16="http://schemas.microsoft.com/office/drawing/2014/main" id="{C50160A6-4CE2-4084-81C8-733003A3839C}"/>
            </a:ext>
          </a:extLst>
        </xdr:cNvPr>
        <xdr:cNvSpPr txBox="1"/>
      </xdr:nvSpPr>
      <xdr:spPr>
        <a:xfrm>
          <a:off x="1079558" y="4694040"/>
          <a:ext cx="1160280"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4DCE13-6DD5-448B-8279-B7079D24A148}" type="TxLink">
            <a:rPr lang="en-US" sz="1100" b="0" i="0" u="none" strike="noStrike">
              <a:solidFill>
                <a:srgbClr val="000000"/>
              </a:solidFill>
              <a:latin typeface="Calibri" panose="020F0502020204030204" pitchFamily="34" charset="0"/>
              <a:ea typeface="+mn-ea"/>
              <a:cs typeface="Calibri" panose="020F0502020204030204" pitchFamily="34" charset="0"/>
            </a:rPr>
            <a:pPr marL="0" indent="0"/>
            <a:t>Extra Stops</a:t>
          </a:fld>
          <a:endParaRPr lang="pl-PL" sz="14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1</xdr:col>
      <xdr:colOff>470947</xdr:colOff>
      <xdr:row>22</xdr:row>
      <xdr:rowOff>185332</xdr:rowOff>
    </xdr:from>
    <xdr:to>
      <xdr:col>2</xdr:col>
      <xdr:colOff>590550</xdr:colOff>
      <xdr:row>24</xdr:row>
      <xdr:rowOff>101073</xdr:rowOff>
    </xdr:to>
    <xdr:sp macro="" textlink="'Pivot Tables'!S30">
      <xdr:nvSpPr>
        <xdr:cNvPr id="72" name="TextBox 71">
          <a:extLst>
            <a:ext uri="{FF2B5EF4-FFF2-40B4-BE49-F238E27FC236}">
              <a16:creationId xmlns:a16="http://schemas.microsoft.com/office/drawing/2014/main" id="{D3141BE9-EB86-4F61-BDA2-9E12F662F772}"/>
            </a:ext>
          </a:extLst>
        </xdr:cNvPr>
        <xdr:cNvSpPr txBox="1"/>
      </xdr:nvSpPr>
      <xdr:spPr>
        <a:xfrm>
          <a:off x="1080010" y="4376332"/>
          <a:ext cx="728667"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BBD461-3357-4F9A-8C26-0D7447A3862A}" type="TxLink">
            <a:rPr lang="en-US" sz="1100" b="0" i="0" u="none" strike="noStrike">
              <a:solidFill>
                <a:srgbClr val="000000"/>
              </a:solidFill>
              <a:latin typeface="Calibri" panose="020F0502020204030204" pitchFamily="34" charset="0"/>
              <a:ea typeface="+mn-ea"/>
              <a:cs typeface="Calibri" panose="020F0502020204030204" pitchFamily="34" charset="0"/>
            </a:rPr>
            <a:pPr marL="0" indent="0"/>
            <a:t>Extra Pay</a:t>
          </a:fld>
          <a:endParaRPr lang="pl-PL" sz="14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1</xdr:col>
      <xdr:colOff>470948</xdr:colOff>
      <xdr:row>21</xdr:row>
      <xdr:rowOff>72489</xdr:rowOff>
    </xdr:from>
    <xdr:to>
      <xdr:col>3</xdr:col>
      <xdr:colOff>219075</xdr:colOff>
      <xdr:row>22</xdr:row>
      <xdr:rowOff>178730</xdr:rowOff>
    </xdr:to>
    <xdr:sp macro="" textlink="'Pivot Tables'!R30">
      <xdr:nvSpPr>
        <xdr:cNvPr id="73" name="TextBox 72">
          <a:extLst>
            <a:ext uri="{FF2B5EF4-FFF2-40B4-BE49-F238E27FC236}">
              <a16:creationId xmlns:a16="http://schemas.microsoft.com/office/drawing/2014/main" id="{9DCE29C4-6C6B-4C08-8A2D-6A031CF60077}"/>
            </a:ext>
          </a:extLst>
        </xdr:cNvPr>
        <xdr:cNvSpPr txBox="1"/>
      </xdr:nvSpPr>
      <xdr:spPr>
        <a:xfrm>
          <a:off x="1080011" y="4072989"/>
          <a:ext cx="966254"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3CB3894-ED04-4E0A-84C0-05045DBA6F14}" type="TxLink">
            <a:rPr lang="en-US" sz="1100" b="0" i="0" u="none" strike="noStrike">
              <a:solidFill>
                <a:srgbClr val="000000"/>
              </a:solidFill>
              <a:latin typeface="Calibri" panose="020F0502020204030204" pitchFamily="34" charset="0"/>
              <a:ea typeface="+mn-ea"/>
              <a:cs typeface="Calibri" panose="020F0502020204030204" pitchFamily="34" charset="0"/>
            </a:rPr>
            <a:pPr marL="0" indent="0"/>
            <a:t>Rate Per Mile</a:t>
          </a:fld>
          <a:endParaRPr lang="pl-PL" sz="14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4</xdr:col>
      <xdr:colOff>79485</xdr:colOff>
      <xdr:row>17</xdr:row>
      <xdr:rowOff>145986</xdr:rowOff>
    </xdr:from>
    <xdr:to>
      <xdr:col>5</xdr:col>
      <xdr:colOff>51235</xdr:colOff>
      <xdr:row>19</xdr:row>
      <xdr:rowOff>61727</xdr:rowOff>
    </xdr:to>
    <xdr:sp macro="" textlink="'Pivot Tables'!P31">
      <xdr:nvSpPr>
        <xdr:cNvPr id="74" name="TextBox 73">
          <a:extLst>
            <a:ext uri="{FF2B5EF4-FFF2-40B4-BE49-F238E27FC236}">
              <a16:creationId xmlns:a16="http://schemas.microsoft.com/office/drawing/2014/main" id="{6631B1DA-CDF5-4D73-9FAF-DAF22FF5D591}"/>
            </a:ext>
          </a:extLst>
        </xdr:cNvPr>
        <xdr:cNvSpPr txBox="1"/>
      </xdr:nvSpPr>
      <xdr:spPr>
        <a:xfrm>
          <a:off x="2523140" y="3384486"/>
          <a:ext cx="582664"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B423536-01D1-4EEC-ABF5-BBDBC0475E75}" type="TxLink">
            <a:rPr lang="en-US" sz="1100" b="1" i="0" u="none" strike="noStrike">
              <a:solidFill>
                <a:srgbClr val="000000"/>
              </a:solidFill>
              <a:latin typeface="Calibri" panose="020F0502020204030204" pitchFamily="34" charset="0"/>
              <a:ea typeface="+mn-ea"/>
              <a:cs typeface="Calibri" panose="020F0502020204030204" pitchFamily="34" charset="0"/>
            </a:rPr>
            <a:pPr marL="0" indent="0"/>
            <a:t>21 353   </a:t>
          </a:fld>
          <a:endParaRPr lang="pl-PL" sz="12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4</xdr:col>
      <xdr:colOff>50347</xdr:colOff>
      <xdr:row>21</xdr:row>
      <xdr:rowOff>61903</xdr:rowOff>
    </xdr:from>
    <xdr:to>
      <xdr:col>4</xdr:col>
      <xdr:colOff>600400</xdr:colOff>
      <xdr:row>22</xdr:row>
      <xdr:rowOff>168144</xdr:rowOff>
    </xdr:to>
    <xdr:sp macro="" textlink="'Pivot Tables'!R31">
      <xdr:nvSpPr>
        <xdr:cNvPr id="75" name="TextBox 74">
          <a:extLst>
            <a:ext uri="{FF2B5EF4-FFF2-40B4-BE49-F238E27FC236}">
              <a16:creationId xmlns:a16="http://schemas.microsoft.com/office/drawing/2014/main" id="{0F2434D3-7329-4A6D-9E8D-29E4AA158EA4}"/>
            </a:ext>
          </a:extLst>
        </xdr:cNvPr>
        <xdr:cNvSpPr txBox="1"/>
      </xdr:nvSpPr>
      <xdr:spPr>
        <a:xfrm>
          <a:off x="2488747" y="4062403"/>
          <a:ext cx="550053"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3499A9-9366-4128-894F-FFE6C21337AC}" type="TxLink">
            <a:rPr lang="en-US" sz="1100" b="1" i="0" u="none" strike="noStrike">
              <a:solidFill>
                <a:srgbClr val="000000"/>
              </a:solidFill>
              <a:latin typeface="Calibri" panose="020F0502020204030204" pitchFamily="34" charset="0"/>
              <a:ea typeface="+mn-ea"/>
              <a:cs typeface="Calibri" panose="020F0502020204030204" pitchFamily="34" charset="0"/>
            </a:rPr>
            <a:pPr marL="0" indent="0"/>
            <a:t> $1,43 </a:t>
          </a:fld>
          <a:endParaRPr lang="pl-PL" sz="12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4</xdr:col>
      <xdr:colOff>47625</xdr:colOff>
      <xdr:row>22</xdr:row>
      <xdr:rowOff>182037</xdr:rowOff>
    </xdr:from>
    <xdr:to>
      <xdr:col>5</xdr:col>
      <xdr:colOff>219400</xdr:colOff>
      <xdr:row>24</xdr:row>
      <xdr:rowOff>97778</xdr:rowOff>
    </xdr:to>
    <xdr:sp macro="" textlink="'Pivot Tables'!S31">
      <xdr:nvSpPr>
        <xdr:cNvPr id="76" name="TextBox 75">
          <a:extLst>
            <a:ext uri="{FF2B5EF4-FFF2-40B4-BE49-F238E27FC236}">
              <a16:creationId xmlns:a16="http://schemas.microsoft.com/office/drawing/2014/main" id="{03D60C79-DDA5-4053-B932-F29643F567A5}"/>
            </a:ext>
          </a:extLst>
        </xdr:cNvPr>
        <xdr:cNvSpPr txBox="1"/>
      </xdr:nvSpPr>
      <xdr:spPr>
        <a:xfrm>
          <a:off x="2483879" y="4373037"/>
          <a:ext cx="780838"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A335FB8-0D2F-4111-8164-31D4F64F2377}" type="TxLink">
            <a:rPr lang="en-US" sz="1100" b="1" i="0" u="none" strike="noStrike">
              <a:solidFill>
                <a:srgbClr val="000000"/>
              </a:solidFill>
              <a:latin typeface="Calibri" panose="020F0502020204030204" pitchFamily="34" charset="0"/>
              <a:ea typeface="+mn-ea"/>
              <a:cs typeface="Calibri" panose="020F0502020204030204" pitchFamily="34" charset="0"/>
            </a:rPr>
            <a:pPr marL="0" indent="0"/>
            <a:t> $1 546 </a:t>
          </a:fld>
          <a:endParaRPr lang="pl-PL" sz="12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4</xdr:col>
      <xdr:colOff>57150</xdr:colOff>
      <xdr:row>19</xdr:row>
      <xdr:rowOff>79465</xdr:rowOff>
    </xdr:from>
    <xdr:to>
      <xdr:col>5</xdr:col>
      <xdr:colOff>170415</xdr:colOff>
      <xdr:row>20</xdr:row>
      <xdr:rowOff>185706</xdr:rowOff>
    </xdr:to>
    <xdr:sp macro="" textlink="'Pivot Tables'!Q31">
      <xdr:nvSpPr>
        <xdr:cNvPr id="77" name="TextBox 76">
          <a:extLst>
            <a:ext uri="{FF2B5EF4-FFF2-40B4-BE49-F238E27FC236}">
              <a16:creationId xmlns:a16="http://schemas.microsoft.com/office/drawing/2014/main" id="{66A6CC1D-52BE-4C9C-AC68-C7CCAA6C1780}"/>
            </a:ext>
          </a:extLst>
        </xdr:cNvPr>
        <xdr:cNvSpPr txBox="1"/>
      </xdr:nvSpPr>
      <xdr:spPr>
        <a:xfrm>
          <a:off x="2491592" y="3698965"/>
          <a:ext cx="721875"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AC15E0D-81BC-488D-897D-5B22B1A001C3}" type="TxLink">
            <a:rPr lang="en-US" sz="1100" b="1" i="0" u="none" strike="noStrike">
              <a:solidFill>
                <a:srgbClr val="000000"/>
              </a:solidFill>
              <a:latin typeface="Calibri" panose="020F0502020204030204" pitchFamily="34" charset="0"/>
              <a:ea typeface="+mn-ea"/>
              <a:cs typeface="Calibri" panose="020F0502020204030204" pitchFamily="34" charset="0"/>
            </a:rPr>
            <a:pPr marL="0" indent="0"/>
            <a:t> $14 947 </a:t>
          </a:fld>
          <a:endParaRPr lang="pl-PL" sz="12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1</xdr:col>
      <xdr:colOff>548934</xdr:colOff>
      <xdr:row>24</xdr:row>
      <xdr:rowOff>91086</xdr:rowOff>
    </xdr:from>
    <xdr:to>
      <xdr:col>5</xdr:col>
      <xdr:colOff>179309</xdr:colOff>
      <xdr:row>24</xdr:row>
      <xdr:rowOff>91086</xdr:rowOff>
    </xdr:to>
    <xdr:cxnSp macro="">
      <xdr:nvCxnSpPr>
        <xdr:cNvPr id="99" name="Straight Connector 98">
          <a:extLst>
            <a:ext uri="{FF2B5EF4-FFF2-40B4-BE49-F238E27FC236}">
              <a16:creationId xmlns:a16="http://schemas.microsoft.com/office/drawing/2014/main" id="{43E832E0-7DA2-4344-B991-3FC149D8D156}"/>
            </a:ext>
          </a:extLst>
        </xdr:cNvPr>
        <xdr:cNvCxnSpPr/>
      </xdr:nvCxnSpPr>
      <xdr:spPr>
        <a:xfrm>
          <a:off x="1157997" y="4663086"/>
          <a:ext cx="2066629"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38101</xdr:colOff>
      <xdr:row>24</xdr:row>
      <xdr:rowOff>139245</xdr:rowOff>
    </xdr:from>
    <xdr:to>
      <xdr:col>5</xdr:col>
      <xdr:colOff>213007</xdr:colOff>
      <xdr:row>26</xdr:row>
      <xdr:rowOff>54986</xdr:rowOff>
    </xdr:to>
    <xdr:sp macro="" textlink="'Pivot Tables'!T31">
      <xdr:nvSpPr>
        <xdr:cNvPr id="81" name="TextBox 80">
          <a:extLst>
            <a:ext uri="{FF2B5EF4-FFF2-40B4-BE49-F238E27FC236}">
              <a16:creationId xmlns:a16="http://schemas.microsoft.com/office/drawing/2014/main" id="{3B7E9554-8F69-4695-807D-BEB25D92CF10}"/>
            </a:ext>
          </a:extLst>
        </xdr:cNvPr>
        <xdr:cNvSpPr txBox="1"/>
      </xdr:nvSpPr>
      <xdr:spPr>
        <a:xfrm>
          <a:off x="2472543" y="4711245"/>
          <a:ext cx="783516"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BF0696E-B753-4C49-B3C9-C6EA644A1DD3}" type="TxLink">
            <a:rPr lang="en-US" sz="1100" b="1" i="0" u="none" strike="noStrike">
              <a:solidFill>
                <a:srgbClr val="000000"/>
              </a:solidFill>
              <a:latin typeface="Calibri" panose="020F0502020204030204" pitchFamily="34" charset="0"/>
              <a:ea typeface="+mn-ea"/>
              <a:cs typeface="Calibri" panose="020F0502020204030204" pitchFamily="34" charset="0"/>
            </a:rPr>
            <a:pPr marL="0" indent="0"/>
            <a:t> $6 100 </a:t>
          </a:fld>
          <a:endParaRPr lang="pl-PL" sz="12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3</xdr:col>
      <xdr:colOff>576147</xdr:colOff>
      <xdr:row>15</xdr:row>
      <xdr:rowOff>134869</xdr:rowOff>
    </xdr:from>
    <xdr:to>
      <xdr:col>5</xdr:col>
      <xdr:colOff>151222</xdr:colOff>
      <xdr:row>17</xdr:row>
      <xdr:rowOff>50610</xdr:rowOff>
    </xdr:to>
    <xdr:sp macro="" textlink="'Pivot Tables'!V31">
      <xdr:nvSpPr>
        <xdr:cNvPr id="94" name="TextBox 93">
          <a:extLst>
            <a:ext uri="{FF2B5EF4-FFF2-40B4-BE49-F238E27FC236}">
              <a16:creationId xmlns:a16="http://schemas.microsoft.com/office/drawing/2014/main" id="{7FD5CB62-2C9C-45FB-9E36-3D771C0E3BD0}"/>
            </a:ext>
          </a:extLst>
        </xdr:cNvPr>
        <xdr:cNvSpPr txBox="1"/>
      </xdr:nvSpPr>
      <xdr:spPr>
        <a:xfrm>
          <a:off x="2414886" y="2992369"/>
          <a:ext cx="800901"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66A7C0-275F-4B2C-8E74-2E00172527D0}" type="TxLink">
            <a:rPr lang="en-US" sz="1400" b="1" i="0" u="none" strike="noStrike">
              <a:solidFill>
                <a:srgbClr val="000000"/>
              </a:solidFill>
              <a:latin typeface="Calibri" panose="020F0502020204030204" pitchFamily="34" charset="0"/>
              <a:ea typeface="+mn-ea"/>
              <a:cs typeface="Calibri" panose="020F0502020204030204" pitchFamily="34" charset="0"/>
            </a:rPr>
            <a:pPr marL="0" indent="0"/>
            <a:t>$22 593</a:t>
          </a:fld>
          <a:endParaRPr lang="pl-PL" sz="18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23</xdr:col>
      <xdr:colOff>438150</xdr:colOff>
      <xdr:row>4</xdr:row>
      <xdr:rowOff>152400</xdr:rowOff>
    </xdr:from>
    <xdr:to>
      <xdr:col>27</xdr:col>
      <xdr:colOff>446209</xdr:colOff>
      <xdr:row>9</xdr:row>
      <xdr:rowOff>123825</xdr:rowOff>
    </xdr:to>
    <xdr:sp macro="" textlink="">
      <xdr:nvSpPr>
        <xdr:cNvPr id="42" name="Rectangle: Rounded Corners 41">
          <a:extLst>
            <a:ext uri="{FF2B5EF4-FFF2-40B4-BE49-F238E27FC236}">
              <a16:creationId xmlns:a16="http://schemas.microsoft.com/office/drawing/2014/main" id="{C0165FA1-9B03-4CDB-AB9C-656A5E27AA07}"/>
            </a:ext>
          </a:extLst>
        </xdr:cNvPr>
        <xdr:cNvSpPr/>
      </xdr:nvSpPr>
      <xdr:spPr>
        <a:xfrm>
          <a:off x="14458950" y="914400"/>
          <a:ext cx="2446459" cy="923925"/>
        </a:xfrm>
        <a:prstGeom prst="roundRect">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oneCell">
    <xdr:from>
      <xdr:col>24</xdr:col>
      <xdr:colOff>114300</xdr:colOff>
      <xdr:row>5</xdr:row>
      <xdr:rowOff>47624</xdr:rowOff>
    </xdr:from>
    <xdr:to>
      <xdr:col>27</xdr:col>
      <xdr:colOff>114300</xdr:colOff>
      <xdr:row>9</xdr:row>
      <xdr:rowOff>23624</xdr:rowOff>
    </xdr:to>
    <mc:AlternateContent xmlns:mc="http://schemas.openxmlformats.org/markup-compatibility/2006" xmlns:a14="http://schemas.microsoft.com/office/drawing/2010/main">
      <mc:Choice Requires="a14">
        <xdr:graphicFrame macro="">
          <xdr:nvGraphicFramePr>
            <xdr:cNvPr id="79" name="Load 1">
              <a:extLst>
                <a:ext uri="{FF2B5EF4-FFF2-40B4-BE49-F238E27FC236}">
                  <a16:creationId xmlns:a16="http://schemas.microsoft.com/office/drawing/2014/main" id="{BBB4A289-AC73-4505-9945-EB349DFA9306}"/>
                </a:ext>
              </a:extLst>
            </xdr:cNvPr>
            <xdr:cNvGraphicFramePr/>
          </xdr:nvGraphicFramePr>
          <xdr:xfrm>
            <a:off x="0" y="0"/>
            <a:ext cx="0" cy="0"/>
          </xdr:xfrm>
          <a:graphic>
            <a:graphicData uri="http://schemas.microsoft.com/office/drawing/2010/slicer">
              <sle:slicer xmlns:sle="http://schemas.microsoft.com/office/drawing/2010/slicer" name="Load 1"/>
            </a:graphicData>
          </a:graphic>
        </xdr:graphicFrame>
      </mc:Choice>
      <mc:Fallback xmlns="">
        <xdr:sp macro="" textlink="">
          <xdr:nvSpPr>
            <xdr:cNvPr id="0" name=""/>
            <xdr:cNvSpPr>
              <a:spLocks noTextEdit="1"/>
            </xdr:cNvSpPr>
          </xdr:nvSpPr>
          <xdr:spPr>
            <a:xfrm>
              <a:off x="14744700" y="1000124"/>
              <a:ext cx="1828800" cy="73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140071</xdr:colOff>
      <xdr:row>21</xdr:row>
      <xdr:rowOff>73398</xdr:rowOff>
    </xdr:from>
    <xdr:to>
      <xdr:col>23</xdr:col>
      <xdr:colOff>272302</xdr:colOff>
      <xdr:row>37</xdr:row>
      <xdr:rowOff>189520</xdr:rowOff>
    </xdr:to>
    <xdr:sp macro="" textlink="">
      <xdr:nvSpPr>
        <xdr:cNvPr id="80" name="Rectangle: Rounded Corners 79">
          <a:extLst>
            <a:ext uri="{FF2B5EF4-FFF2-40B4-BE49-F238E27FC236}">
              <a16:creationId xmlns:a16="http://schemas.microsoft.com/office/drawing/2014/main" id="{16A784CE-E3FC-467A-AD03-72C164E634D6}"/>
            </a:ext>
          </a:extLst>
        </xdr:cNvPr>
        <xdr:cNvSpPr/>
      </xdr:nvSpPr>
      <xdr:spPr>
        <a:xfrm>
          <a:off x="7455271" y="4073898"/>
          <a:ext cx="6837831" cy="3164122"/>
        </a:xfrm>
        <a:prstGeom prst="roundRect">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12</xdr:col>
      <xdr:colOff>247651</xdr:colOff>
      <xdr:row>21</xdr:row>
      <xdr:rowOff>140073</xdr:rowOff>
    </xdr:from>
    <xdr:to>
      <xdr:col>23</xdr:col>
      <xdr:colOff>161925</xdr:colOff>
      <xdr:row>37</xdr:row>
      <xdr:rowOff>134135</xdr:rowOff>
    </xdr:to>
    <mc:AlternateContent xmlns:mc="http://schemas.openxmlformats.org/markup-compatibility/2006">
      <mc:Choice xmlns:cx4="http://schemas.microsoft.com/office/drawing/2016/5/10/chartex" Requires="cx4">
        <xdr:graphicFrame macro="">
          <xdr:nvGraphicFramePr>
            <xdr:cNvPr id="83" name="Chart 82">
              <a:extLst>
                <a:ext uri="{FF2B5EF4-FFF2-40B4-BE49-F238E27FC236}">
                  <a16:creationId xmlns:a16="http://schemas.microsoft.com/office/drawing/2014/main" id="{2087202D-DE74-4023-87E5-42E7B647D0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562851" y="4140573"/>
              <a:ext cx="6619874" cy="3042062"/>
            </a:xfrm>
            <a:prstGeom prst="rect">
              <a:avLst/>
            </a:prstGeom>
            <a:solidFill>
              <a:prstClr val="white"/>
            </a:solidFill>
            <a:ln w="1">
              <a:solidFill>
                <a:prstClr val="green"/>
              </a:solidFill>
            </a:ln>
          </xdr:spPr>
          <xdr:txBody>
            <a:bodyPr vertOverflow="clip" horzOverflow="clip"/>
            <a:lstStyle/>
            <a:p>
              <a:r>
                <a:rPr lang="pl-PL" sz="1100"/>
                <a:t>Ten wykres jest niedostępny w Twojej wersji programu Excel.
Edytowanie tego kształtu lub zapisanie tego skoroszytu w innym formacie pliku spowoduje trwałe uszkodzenie wykresu.</a:t>
              </a:r>
            </a:p>
          </xdr:txBody>
        </xdr:sp>
      </mc:Fallback>
    </mc:AlternateContent>
    <xdr:clientData/>
  </xdr:twoCellAnchor>
  <xdr:twoCellAnchor>
    <xdr:from>
      <xdr:col>23</xdr:col>
      <xdr:colOff>359465</xdr:colOff>
      <xdr:row>22</xdr:row>
      <xdr:rowOff>104972</xdr:rowOff>
    </xdr:from>
    <xdr:to>
      <xdr:col>27</xdr:col>
      <xdr:colOff>399902</xdr:colOff>
      <xdr:row>34</xdr:row>
      <xdr:rowOff>57150</xdr:rowOff>
    </xdr:to>
    <xdr:grpSp>
      <xdr:nvGrpSpPr>
        <xdr:cNvPr id="115" name="Group 114">
          <a:extLst>
            <a:ext uri="{FF2B5EF4-FFF2-40B4-BE49-F238E27FC236}">
              <a16:creationId xmlns:a16="http://schemas.microsoft.com/office/drawing/2014/main" id="{7B515BD6-4CBF-7A60-F81E-288BAC8CA8BC}"/>
            </a:ext>
          </a:extLst>
        </xdr:cNvPr>
        <xdr:cNvGrpSpPr/>
      </xdr:nvGrpSpPr>
      <xdr:grpSpPr>
        <a:xfrm>
          <a:off x="14380265" y="4295972"/>
          <a:ext cx="2478837" cy="2238178"/>
          <a:chOff x="14456465" y="4066543"/>
          <a:chExt cx="2492089" cy="1723746"/>
        </a:xfrm>
      </xdr:grpSpPr>
      <xdr:grpSp>
        <xdr:nvGrpSpPr>
          <xdr:cNvPr id="58" name="Group 57">
            <a:extLst>
              <a:ext uri="{FF2B5EF4-FFF2-40B4-BE49-F238E27FC236}">
                <a16:creationId xmlns:a16="http://schemas.microsoft.com/office/drawing/2014/main" id="{A466F478-73CA-41EF-887C-14B9F4C5D113}"/>
              </a:ext>
            </a:extLst>
          </xdr:cNvPr>
          <xdr:cNvGrpSpPr/>
        </xdr:nvGrpSpPr>
        <xdr:grpSpPr>
          <a:xfrm>
            <a:off x="14456465" y="4066543"/>
            <a:ext cx="2492089" cy="1723746"/>
            <a:chOff x="14486282" y="1537448"/>
            <a:chExt cx="2492089" cy="1723746"/>
          </a:xfrm>
        </xdr:grpSpPr>
        <xdr:sp macro="" textlink="">
          <xdr:nvSpPr>
            <xdr:cNvPr id="59" name="Rectangle: Rounded Corners 58">
              <a:extLst>
                <a:ext uri="{FF2B5EF4-FFF2-40B4-BE49-F238E27FC236}">
                  <a16:creationId xmlns:a16="http://schemas.microsoft.com/office/drawing/2014/main" id="{29948AD4-6F52-2A27-65C2-78B3B5E1D806}"/>
                </a:ext>
              </a:extLst>
            </xdr:cNvPr>
            <xdr:cNvSpPr/>
          </xdr:nvSpPr>
          <xdr:spPr>
            <a:xfrm>
              <a:off x="14486282" y="1537448"/>
              <a:ext cx="2492089" cy="1723746"/>
            </a:xfrm>
            <a:prstGeom prst="roundRect">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60" name="TextBox 59">
              <a:extLst>
                <a:ext uri="{FF2B5EF4-FFF2-40B4-BE49-F238E27FC236}">
                  <a16:creationId xmlns:a16="http://schemas.microsoft.com/office/drawing/2014/main" id="{35D3FBD8-BFD5-6662-451D-9BD19714C1B5}"/>
                </a:ext>
              </a:extLst>
            </xdr:cNvPr>
            <xdr:cNvSpPr txBox="1"/>
          </xdr:nvSpPr>
          <xdr:spPr>
            <a:xfrm>
              <a:off x="14546915" y="1667435"/>
              <a:ext cx="1451772"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l-PL" sz="1400" b="1" i="0" u="none" strike="noStrike">
                  <a:solidFill>
                    <a:schemeClr val="tx1"/>
                  </a:solidFill>
                  <a:latin typeface="Calibri" panose="020F0502020204030204" pitchFamily="34" charset="0"/>
                  <a:ea typeface="+mn-ea"/>
                  <a:cs typeface="Calibri" panose="020F0502020204030204" pitchFamily="34" charset="0"/>
                </a:rPr>
                <a:t>Freight Expenses</a:t>
              </a:r>
            </a:p>
          </xdr:txBody>
        </xdr:sp>
        <xdr:sp macro="" textlink="'Pivot Tables'!P16">
          <xdr:nvSpPr>
            <xdr:cNvPr id="61" name="TextBox 60">
              <a:extLst>
                <a:ext uri="{FF2B5EF4-FFF2-40B4-BE49-F238E27FC236}">
                  <a16:creationId xmlns:a16="http://schemas.microsoft.com/office/drawing/2014/main" id="{C91ACC5A-E684-8801-8FFF-A599F6F3922A}"/>
                </a:ext>
              </a:extLst>
            </xdr:cNvPr>
            <xdr:cNvSpPr txBox="1"/>
          </xdr:nvSpPr>
          <xdr:spPr>
            <a:xfrm>
              <a:off x="14489766" y="2038910"/>
              <a:ext cx="918786"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097E989-BE36-4FDE-8DAC-3C82E9FBC82C}" type="TxLink">
                <a:rPr lang="en-US" sz="1200" b="0" i="0" u="none" strike="noStrike">
                  <a:solidFill>
                    <a:srgbClr val="000000"/>
                  </a:solidFill>
                  <a:latin typeface="Calibri" panose="020F0502020204030204" pitchFamily="34" charset="0"/>
                  <a:ea typeface="+mn-ea"/>
                  <a:cs typeface="Calibri" panose="020F0502020204030204" pitchFamily="34" charset="0"/>
                </a:rPr>
                <a:pPr marL="0" indent="0"/>
                <a:t>Fundings</a:t>
              </a:fld>
              <a:endParaRPr lang="pl-PL" sz="1400" b="0" i="0" u="none" strike="noStrike">
                <a:solidFill>
                  <a:schemeClr val="tx1"/>
                </a:solidFill>
                <a:latin typeface="Calibri" panose="020F0502020204030204" pitchFamily="34" charset="0"/>
                <a:ea typeface="+mn-ea"/>
                <a:cs typeface="Calibri" panose="020F0502020204030204" pitchFamily="34" charset="0"/>
              </a:endParaRPr>
            </a:p>
          </xdr:txBody>
        </xdr:sp>
        <xdr:sp macro="" textlink="'Pivot Tables'!Q16">
          <xdr:nvSpPr>
            <xdr:cNvPr id="62" name="TextBox 61">
              <a:extLst>
                <a:ext uri="{FF2B5EF4-FFF2-40B4-BE49-F238E27FC236}">
                  <a16:creationId xmlns:a16="http://schemas.microsoft.com/office/drawing/2014/main" id="{62886364-490C-6105-E12A-959E00D6A731}"/>
                </a:ext>
              </a:extLst>
            </xdr:cNvPr>
            <xdr:cNvSpPr txBox="1"/>
          </xdr:nvSpPr>
          <xdr:spPr>
            <a:xfrm>
              <a:off x="14489766" y="2336566"/>
              <a:ext cx="978834"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9CA5F3F-26F4-4C35-843C-EF3EE19F155A}" type="TxLink">
                <a:rPr lang="en-US" sz="1200" b="0" i="0" u="none" strike="noStrike">
                  <a:solidFill>
                    <a:srgbClr val="000000"/>
                  </a:solidFill>
                  <a:latin typeface="Calibri" panose="020F0502020204030204" pitchFamily="34" charset="0"/>
                  <a:ea typeface="+mn-ea"/>
                  <a:cs typeface="Calibri" panose="020F0502020204030204" pitchFamily="34" charset="0"/>
                </a:rPr>
                <a:pPr marL="0" indent="0"/>
                <a:t>Warehouse</a:t>
              </a:fld>
              <a:endParaRPr lang="pl-PL" sz="1400" b="0" i="0" u="none" strike="noStrike">
                <a:solidFill>
                  <a:schemeClr val="tx1"/>
                </a:solidFill>
                <a:latin typeface="Calibri" panose="020F0502020204030204" pitchFamily="34" charset="0"/>
                <a:ea typeface="+mn-ea"/>
                <a:cs typeface="Calibri" panose="020F0502020204030204" pitchFamily="34" charset="0"/>
              </a:endParaRPr>
            </a:p>
          </xdr:txBody>
        </xdr:sp>
        <xdr:sp macro="" textlink="'Pivot Tables'!R16">
          <xdr:nvSpPr>
            <xdr:cNvPr id="63" name="TextBox 62">
              <a:extLst>
                <a:ext uri="{FF2B5EF4-FFF2-40B4-BE49-F238E27FC236}">
                  <a16:creationId xmlns:a16="http://schemas.microsoft.com/office/drawing/2014/main" id="{EFE52C3F-E0CE-A05F-3089-8B28112D546A}"/>
                </a:ext>
              </a:extLst>
            </xdr:cNvPr>
            <xdr:cNvSpPr txBox="1"/>
          </xdr:nvSpPr>
          <xdr:spPr>
            <a:xfrm>
              <a:off x="14489766" y="2634222"/>
              <a:ext cx="918786"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58F2BFB-1BE8-4B42-B9C7-D85B88738A59}" type="TxLink">
                <a:rPr lang="en-US" sz="1200" b="0" i="0" u="none" strike="noStrike">
                  <a:solidFill>
                    <a:srgbClr val="000000"/>
                  </a:solidFill>
                  <a:latin typeface="Calibri" panose="020F0502020204030204" pitchFamily="34" charset="0"/>
                  <a:ea typeface="+mn-ea"/>
                  <a:cs typeface="Calibri" panose="020F0502020204030204" pitchFamily="34" charset="0"/>
                </a:rPr>
                <a:pPr marL="0" indent="0"/>
                <a:t>Tolls</a:t>
              </a:fld>
              <a:endParaRPr lang="pl-PL" sz="1400" b="0" i="0" u="none" strike="noStrike">
                <a:solidFill>
                  <a:schemeClr val="tx1"/>
                </a:solidFill>
                <a:latin typeface="Calibri" panose="020F0502020204030204" pitchFamily="34" charset="0"/>
                <a:ea typeface="+mn-ea"/>
                <a:cs typeface="Calibri" panose="020F0502020204030204" pitchFamily="34" charset="0"/>
              </a:endParaRPr>
            </a:p>
          </xdr:txBody>
        </xdr:sp>
        <xdr:cxnSp macro="">
          <xdr:nvCxnSpPr>
            <xdr:cNvPr id="65" name="Straight Connector 64">
              <a:extLst>
                <a:ext uri="{FF2B5EF4-FFF2-40B4-BE49-F238E27FC236}">
                  <a16:creationId xmlns:a16="http://schemas.microsoft.com/office/drawing/2014/main" id="{3E9EA104-099A-08D5-BBA3-CEA19FF8BB1A}"/>
                </a:ext>
              </a:extLst>
            </xdr:cNvPr>
            <xdr:cNvCxnSpPr/>
          </xdr:nvCxnSpPr>
          <xdr:spPr>
            <a:xfrm>
              <a:off x="14576769" y="2347072"/>
              <a:ext cx="2246917"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66" name="Straight Connector 65">
              <a:extLst>
                <a:ext uri="{FF2B5EF4-FFF2-40B4-BE49-F238E27FC236}">
                  <a16:creationId xmlns:a16="http://schemas.microsoft.com/office/drawing/2014/main" id="{40897AEC-FA8B-EAEC-8CAD-2EA4CDE3F6F1}"/>
                </a:ext>
              </a:extLst>
            </xdr:cNvPr>
            <xdr:cNvCxnSpPr/>
          </xdr:nvCxnSpPr>
          <xdr:spPr>
            <a:xfrm>
              <a:off x="14576769" y="2663184"/>
              <a:ext cx="2246917"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sp macro="" textlink="'Pivot Tables'!P17">
          <xdr:nvSpPr>
            <xdr:cNvPr id="68" name="TextBox 67">
              <a:extLst>
                <a:ext uri="{FF2B5EF4-FFF2-40B4-BE49-F238E27FC236}">
                  <a16:creationId xmlns:a16="http://schemas.microsoft.com/office/drawing/2014/main" id="{8FCD9D14-8A9F-3B76-1B4D-7D0C01FEC697}"/>
                </a:ext>
              </a:extLst>
            </xdr:cNvPr>
            <xdr:cNvSpPr txBox="1"/>
          </xdr:nvSpPr>
          <xdr:spPr>
            <a:xfrm>
              <a:off x="16131209" y="2036528"/>
              <a:ext cx="712800"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091756E-EE17-4C7C-AD90-A9BE02502A73}" type="TxLink">
                <a:rPr lang="en-US" sz="1200" b="1" i="0" u="none" strike="noStrike">
                  <a:solidFill>
                    <a:srgbClr val="000000"/>
                  </a:solidFill>
                  <a:latin typeface="Aptos Narrow"/>
                  <a:ea typeface="+mn-ea"/>
                  <a:cs typeface="Calibri" panose="020F0502020204030204" pitchFamily="34" charset="0"/>
                </a:rPr>
                <a:pPr marL="0" indent="0"/>
                <a:t>$1 196</a:t>
              </a:fld>
              <a:endParaRPr lang="pl-PL" sz="1800" b="1" i="0" u="none" strike="noStrike">
                <a:solidFill>
                  <a:schemeClr val="tx1"/>
                </a:solidFill>
                <a:latin typeface="Calibri" panose="020F0502020204030204" pitchFamily="34" charset="0"/>
                <a:ea typeface="+mn-ea"/>
                <a:cs typeface="Calibri" panose="020F0502020204030204" pitchFamily="34" charset="0"/>
              </a:endParaRPr>
            </a:p>
          </xdr:txBody>
        </xdr:sp>
        <xdr:sp macro="" textlink="'Pivot Tables'!Q17">
          <xdr:nvSpPr>
            <xdr:cNvPr id="69" name="TextBox 68">
              <a:extLst>
                <a:ext uri="{FF2B5EF4-FFF2-40B4-BE49-F238E27FC236}">
                  <a16:creationId xmlns:a16="http://schemas.microsoft.com/office/drawing/2014/main" id="{5509E464-B906-D49B-DF25-08EC8406C068}"/>
                </a:ext>
              </a:extLst>
            </xdr:cNvPr>
            <xdr:cNvSpPr txBox="1"/>
          </xdr:nvSpPr>
          <xdr:spPr>
            <a:xfrm>
              <a:off x="16131209" y="2341725"/>
              <a:ext cx="712800"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ADEA7E-CCA1-4416-A0C9-67D9F413333A}" type="TxLink">
                <a:rPr lang="en-US" sz="1200" b="1" i="0" u="none" strike="noStrike">
                  <a:solidFill>
                    <a:srgbClr val="000000"/>
                  </a:solidFill>
                  <a:latin typeface="Aptos Narrow"/>
                  <a:ea typeface="+mn-ea"/>
                  <a:cs typeface="Calibri" panose="020F0502020204030204" pitchFamily="34" charset="0"/>
                </a:rPr>
                <a:pPr marL="0" indent="0"/>
                <a:t>$7 785</a:t>
              </a:fld>
              <a:endParaRPr lang="pl-PL" sz="1800" b="1" i="0" u="none" strike="noStrike">
                <a:solidFill>
                  <a:schemeClr val="tx1"/>
                </a:solidFill>
                <a:latin typeface="Calibri" panose="020F0502020204030204" pitchFamily="34" charset="0"/>
                <a:ea typeface="+mn-ea"/>
                <a:cs typeface="Calibri" panose="020F0502020204030204" pitchFamily="34" charset="0"/>
              </a:endParaRPr>
            </a:p>
          </xdr:txBody>
        </xdr:sp>
        <xdr:sp macro="" textlink="'Pivot Tables'!R17">
          <xdr:nvSpPr>
            <xdr:cNvPr id="70" name="TextBox 69">
              <a:extLst>
                <a:ext uri="{FF2B5EF4-FFF2-40B4-BE49-F238E27FC236}">
                  <a16:creationId xmlns:a16="http://schemas.microsoft.com/office/drawing/2014/main" id="{EF7B1FDC-1DB7-3DF1-7B32-51D37718FDD6}"/>
                </a:ext>
              </a:extLst>
            </xdr:cNvPr>
            <xdr:cNvSpPr txBox="1"/>
          </xdr:nvSpPr>
          <xdr:spPr>
            <a:xfrm>
              <a:off x="16131209" y="2646922"/>
              <a:ext cx="712800"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18FF87-636A-420A-A1A0-2570A43E0DBD}" type="TxLink">
                <a:rPr lang="en-US" sz="1200" b="1" i="0" u="none" strike="noStrike">
                  <a:solidFill>
                    <a:srgbClr val="000000"/>
                  </a:solidFill>
                  <a:latin typeface="Aptos Narrow"/>
                  <a:ea typeface="+mn-ea"/>
                  <a:cs typeface="Calibri" panose="020F0502020204030204" pitchFamily="34" charset="0"/>
                </a:rPr>
                <a:pPr marL="0" indent="0"/>
                <a:t>$7 372</a:t>
              </a:fld>
              <a:endParaRPr lang="pl-PL" sz="1800" b="1" i="0" u="none" strike="noStrike">
                <a:solidFill>
                  <a:schemeClr val="tx1"/>
                </a:solidFill>
                <a:latin typeface="Calibri" panose="020F0502020204030204" pitchFamily="34" charset="0"/>
                <a:ea typeface="+mn-ea"/>
                <a:cs typeface="Calibri" panose="020F0502020204030204" pitchFamily="34" charset="0"/>
              </a:endParaRPr>
            </a:p>
          </xdr:txBody>
        </xdr:sp>
      </xdr:grpSp>
      <xdr:sp macro="" textlink="'Pivot Tables'!Q19">
        <xdr:nvSpPr>
          <xdr:cNvPr id="95" name="TextBox 94">
            <a:extLst>
              <a:ext uri="{FF2B5EF4-FFF2-40B4-BE49-F238E27FC236}">
                <a16:creationId xmlns:a16="http://schemas.microsoft.com/office/drawing/2014/main" id="{B36217D1-57A4-4F24-A215-27B7F4BCDD44}"/>
              </a:ext>
            </a:extLst>
          </xdr:cNvPr>
          <xdr:cNvSpPr txBox="1"/>
        </xdr:nvSpPr>
        <xdr:spPr>
          <a:xfrm>
            <a:off x="15945264" y="4204447"/>
            <a:ext cx="787280"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721249-E961-413F-9D77-09BCD6C6C610}" type="TxLink">
              <a:rPr lang="en-US" sz="1400" b="1" i="0" u="none" strike="noStrike">
                <a:solidFill>
                  <a:srgbClr val="000000"/>
                </a:solidFill>
                <a:latin typeface="Calibri" panose="020F0502020204030204" pitchFamily="34" charset="0"/>
                <a:ea typeface="+mn-ea"/>
                <a:cs typeface="Calibri" panose="020F0502020204030204" pitchFamily="34" charset="0"/>
              </a:rPr>
              <a:pPr marL="0" indent="0"/>
              <a:t>$22 066</a:t>
            </a:fld>
            <a:endParaRPr lang="pl-PL" sz="1400" b="1" i="0" u="none" strike="noStrike">
              <a:solidFill>
                <a:srgbClr val="000000"/>
              </a:solidFill>
              <a:latin typeface="Calibri" panose="020F0502020204030204" pitchFamily="34" charset="0"/>
              <a:ea typeface="+mn-ea"/>
              <a:cs typeface="Calibri" panose="020F0502020204030204" pitchFamily="34" charset="0"/>
            </a:endParaRPr>
          </a:p>
        </xdr:txBody>
      </xdr:sp>
    </xdr:grpSp>
    <xdr:clientData/>
  </xdr:twoCellAnchor>
  <xdr:twoCellAnchor>
    <xdr:from>
      <xdr:col>5</xdr:col>
      <xdr:colOff>488576</xdr:colOff>
      <xdr:row>21</xdr:row>
      <xdr:rowOff>52106</xdr:rowOff>
    </xdr:from>
    <xdr:to>
      <xdr:col>11</xdr:col>
      <xdr:colOff>571500</xdr:colOff>
      <xdr:row>38</xdr:row>
      <xdr:rowOff>43962</xdr:rowOff>
    </xdr:to>
    <xdr:grpSp>
      <xdr:nvGrpSpPr>
        <xdr:cNvPr id="96" name="Group 95">
          <a:extLst>
            <a:ext uri="{FF2B5EF4-FFF2-40B4-BE49-F238E27FC236}">
              <a16:creationId xmlns:a16="http://schemas.microsoft.com/office/drawing/2014/main" id="{0E9420C5-EE74-4B6D-8BFB-3DCC77CBD494}"/>
            </a:ext>
          </a:extLst>
        </xdr:cNvPr>
        <xdr:cNvGrpSpPr/>
      </xdr:nvGrpSpPr>
      <xdr:grpSpPr>
        <a:xfrm>
          <a:off x="3536576" y="4052606"/>
          <a:ext cx="3740524" cy="3230356"/>
          <a:chOff x="3551084" y="1568823"/>
          <a:chExt cx="1765463" cy="1864800"/>
        </a:xfrm>
      </xdr:grpSpPr>
      <xdr:sp macro="" textlink="">
        <xdr:nvSpPr>
          <xdr:cNvPr id="97" name="Rectangle: Rounded Corners 96">
            <a:extLst>
              <a:ext uri="{FF2B5EF4-FFF2-40B4-BE49-F238E27FC236}">
                <a16:creationId xmlns:a16="http://schemas.microsoft.com/office/drawing/2014/main" id="{15B9BF3B-337E-19F1-A8B8-C81E9F3EA910}"/>
              </a:ext>
            </a:extLst>
          </xdr:cNvPr>
          <xdr:cNvSpPr/>
        </xdr:nvSpPr>
        <xdr:spPr>
          <a:xfrm>
            <a:off x="3551084" y="1568823"/>
            <a:ext cx="1765463" cy="1864800"/>
          </a:xfrm>
          <a:prstGeom prst="roundRect">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Pivot Tables'!V26">
        <xdr:nvSpPr>
          <xdr:cNvPr id="98" name="TextBox 97">
            <a:extLst>
              <a:ext uri="{FF2B5EF4-FFF2-40B4-BE49-F238E27FC236}">
                <a16:creationId xmlns:a16="http://schemas.microsoft.com/office/drawing/2014/main" id="{9E8D719A-CC2F-F90F-5F79-863EE555131C}"/>
              </a:ext>
            </a:extLst>
          </xdr:cNvPr>
          <xdr:cNvSpPr txBox="1"/>
        </xdr:nvSpPr>
        <xdr:spPr>
          <a:xfrm>
            <a:off x="4906576" y="1863758"/>
            <a:ext cx="264385" cy="317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DBF422-1DC6-45D2-A578-518C6432F85E}" type="TxLink">
              <a:rPr lang="en-US" sz="2800" b="1" i="0" u="none" strike="noStrike">
                <a:solidFill>
                  <a:srgbClr val="000000"/>
                </a:solidFill>
                <a:latin typeface="Calibri" panose="020F0502020204030204" pitchFamily="34" charset="0"/>
                <a:ea typeface="+mn-ea"/>
                <a:cs typeface="Calibri" panose="020F0502020204030204" pitchFamily="34" charset="0"/>
              </a:rPr>
              <a:pPr marL="0" indent="0"/>
              <a:t>61   </a:t>
            </a:fld>
            <a:endParaRPr lang="pl-PL" sz="4800" b="1" i="0" u="none" strike="noStrike">
              <a:solidFill>
                <a:srgbClr val="000000"/>
              </a:solidFill>
              <a:latin typeface="Calibri" panose="020F0502020204030204" pitchFamily="34" charset="0"/>
              <a:ea typeface="+mn-ea"/>
              <a:cs typeface="Calibri" panose="020F0502020204030204" pitchFamily="34" charset="0"/>
            </a:endParaRPr>
          </a:p>
        </xdr:txBody>
      </xdr:sp>
      <xdr:sp macro="" textlink="">
        <xdr:nvSpPr>
          <xdr:cNvPr id="102" name="Rectangle 101">
            <a:extLst>
              <a:ext uri="{FF2B5EF4-FFF2-40B4-BE49-F238E27FC236}">
                <a16:creationId xmlns:a16="http://schemas.microsoft.com/office/drawing/2014/main" id="{2E8FE816-0E84-3250-CFF3-443AC22960E1}"/>
              </a:ext>
            </a:extLst>
          </xdr:cNvPr>
          <xdr:cNvSpPr/>
        </xdr:nvSpPr>
        <xdr:spPr>
          <a:xfrm>
            <a:off x="3734083" y="2225777"/>
            <a:ext cx="1429612" cy="303960"/>
          </a:xfrm>
          <a:prstGeom prst="roundRect">
            <a:avLst/>
          </a:prstGeom>
          <a:gradFill flip="none" rotWithShape="1">
            <a:gsLst>
              <a:gs pos="31000">
                <a:schemeClr val="accent5">
                  <a:lumMod val="20000"/>
                  <a:lumOff val="80000"/>
                </a:schemeClr>
              </a:gs>
              <a:gs pos="100000">
                <a:srgbClr val="DAE2F8"/>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103" name="TextBox 102">
            <a:extLst>
              <a:ext uri="{FF2B5EF4-FFF2-40B4-BE49-F238E27FC236}">
                <a16:creationId xmlns:a16="http://schemas.microsoft.com/office/drawing/2014/main" id="{B89115B4-80D7-410D-3355-FE2543FD202F}"/>
              </a:ext>
            </a:extLst>
          </xdr:cNvPr>
          <xdr:cNvSpPr txBox="1"/>
        </xdr:nvSpPr>
        <xdr:spPr>
          <a:xfrm>
            <a:off x="3744705" y="1909436"/>
            <a:ext cx="847379" cy="29674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l-PL" sz="2000" b="1" i="0" u="none" strike="noStrike">
                <a:solidFill>
                  <a:schemeClr val="accent5">
                    <a:lumMod val="75000"/>
                  </a:schemeClr>
                </a:solidFill>
                <a:latin typeface="Calibri" panose="020F0502020204030204" pitchFamily="34" charset="0"/>
                <a:ea typeface="+mn-ea"/>
                <a:cs typeface="Calibri" panose="020F0502020204030204" pitchFamily="34" charset="0"/>
              </a:rPr>
              <a:t>Total Carriages</a:t>
            </a:r>
          </a:p>
        </xdr:txBody>
      </xdr:sp>
    </xdr:grpSp>
    <xdr:clientData/>
  </xdr:twoCellAnchor>
  <xdr:twoCellAnchor>
    <xdr:from>
      <xdr:col>6</xdr:col>
      <xdr:colOff>173413</xdr:colOff>
      <xdr:row>27</xdr:row>
      <xdr:rowOff>183309</xdr:rowOff>
    </xdr:from>
    <xdr:to>
      <xdr:col>7</xdr:col>
      <xdr:colOff>245066</xdr:colOff>
      <xdr:row>29</xdr:row>
      <xdr:rowOff>99050</xdr:rowOff>
    </xdr:to>
    <xdr:sp macro="" textlink="'Pivot Tables'!U4">
      <xdr:nvSpPr>
        <xdr:cNvPr id="104" name="TextBox 103">
          <a:extLst>
            <a:ext uri="{FF2B5EF4-FFF2-40B4-BE49-F238E27FC236}">
              <a16:creationId xmlns:a16="http://schemas.microsoft.com/office/drawing/2014/main" id="{9CEF5BD2-82A2-4133-95B6-EBA4FD5FBCEB}"/>
            </a:ext>
          </a:extLst>
        </xdr:cNvPr>
        <xdr:cNvSpPr txBox="1"/>
      </xdr:nvSpPr>
      <xdr:spPr>
        <a:xfrm>
          <a:off x="3850891" y="5326809"/>
          <a:ext cx="684566"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A36DA3-52E8-479F-BBA3-2F5EA291847B}" type="TxLink">
            <a:rPr lang="en-US" sz="2000" b="1" i="0" u="none" strike="noStrike">
              <a:solidFill>
                <a:srgbClr val="000000"/>
              </a:solidFill>
              <a:latin typeface="Calibri" panose="020F0502020204030204" pitchFamily="34" charset="0"/>
              <a:ea typeface="+mn-ea"/>
              <a:cs typeface="Calibri" panose="020F0502020204030204" pitchFamily="34" charset="0"/>
            </a:rPr>
            <a:pPr marL="0" indent="0" algn="ctr"/>
            <a:t>Iron</a:t>
          </a:fld>
          <a:endParaRPr lang="pl-PL" sz="20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8</xdr:col>
      <xdr:colOff>99559</xdr:colOff>
      <xdr:row>27</xdr:row>
      <xdr:rowOff>188400</xdr:rowOff>
    </xdr:from>
    <xdr:to>
      <xdr:col>9</xdr:col>
      <xdr:colOff>283444</xdr:colOff>
      <xdr:row>29</xdr:row>
      <xdr:rowOff>104141</xdr:rowOff>
    </xdr:to>
    <xdr:sp macro="" textlink="'Pivot Tables'!U5">
      <xdr:nvSpPr>
        <xdr:cNvPr id="105" name="TextBox 104">
          <a:extLst>
            <a:ext uri="{FF2B5EF4-FFF2-40B4-BE49-F238E27FC236}">
              <a16:creationId xmlns:a16="http://schemas.microsoft.com/office/drawing/2014/main" id="{3FBEE55E-508A-43ED-B294-29F0FCB723FF}"/>
            </a:ext>
          </a:extLst>
        </xdr:cNvPr>
        <xdr:cNvSpPr txBox="1"/>
      </xdr:nvSpPr>
      <xdr:spPr>
        <a:xfrm>
          <a:off x="5002863" y="5331900"/>
          <a:ext cx="796798"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938A83-5A63-4583-9737-7A164BDE9218}" type="TxLink">
            <a:rPr lang="en-US" sz="2000" b="1" i="0" u="none" strike="noStrike">
              <a:solidFill>
                <a:srgbClr val="000000"/>
              </a:solidFill>
              <a:latin typeface="Calibri" panose="020F0502020204030204" pitchFamily="34" charset="0"/>
              <a:ea typeface="+mn-ea"/>
              <a:cs typeface="Calibri" panose="020F0502020204030204" pitchFamily="34" charset="0"/>
            </a:rPr>
            <a:pPr marL="0" indent="0" algn="ctr"/>
            <a:t>Sand</a:t>
          </a:fld>
          <a:endParaRPr lang="pl-PL" sz="20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10</xdr:col>
      <xdr:colOff>5415</xdr:colOff>
      <xdr:row>28</xdr:row>
      <xdr:rowOff>11274</xdr:rowOff>
    </xdr:from>
    <xdr:to>
      <xdr:col>11</xdr:col>
      <xdr:colOff>297199</xdr:colOff>
      <xdr:row>29</xdr:row>
      <xdr:rowOff>117515</xdr:rowOff>
    </xdr:to>
    <xdr:sp macro="" textlink="'Pivot Tables'!U6">
      <xdr:nvSpPr>
        <xdr:cNvPr id="106" name="TextBox 105">
          <a:extLst>
            <a:ext uri="{FF2B5EF4-FFF2-40B4-BE49-F238E27FC236}">
              <a16:creationId xmlns:a16="http://schemas.microsoft.com/office/drawing/2014/main" id="{6787702A-4707-460E-9FF5-C35414E0A11D}"/>
            </a:ext>
          </a:extLst>
        </xdr:cNvPr>
        <xdr:cNvSpPr txBox="1"/>
      </xdr:nvSpPr>
      <xdr:spPr>
        <a:xfrm>
          <a:off x="6134545" y="5345274"/>
          <a:ext cx="904697"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36FF8D-4509-4BBB-8606-E59DE88F0AAD}" type="TxLink">
            <a:rPr lang="en-US" sz="2000" b="1" i="0" u="none" strike="noStrike">
              <a:solidFill>
                <a:srgbClr val="000000"/>
              </a:solidFill>
              <a:latin typeface="Calibri" panose="020F0502020204030204" pitchFamily="34" charset="0"/>
              <a:ea typeface="+mn-ea"/>
              <a:cs typeface="Calibri" panose="020F0502020204030204" pitchFamily="34" charset="0"/>
            </a:rPr>
            <a:pPr marL="0" indent="0" algn="ctr"/>
            <a:t>Wood</a:t>
          </a:fld>
          <a:endParaRPr lang="pl-PL" sz="20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6</xdr:col>
      <xdr:colOff>232301</xdr:colOff>
      <xdr:row>30</xdr:row>
      <xdr:rowOff>156106</xdr:rowOff>
    </xdr:from>
    <xdr:to>
      <xdr:col>7</xdr:col>
      <xdr:colOff>225541</xdr:colOff>
      <xdr:row>33</xdr:row>
      <xdr:rowOff>22338</xdr:rowOff>
    </xdr:to>
    <xdr:sp macro="" textlink="'Pivot Tables'!V4">
      <xdr:nvSpPr>
        <xdr:cNvPr id="107" name="TextBox 106">
          <a:extLst>
            <a:ext uri="{FF2B5EF4-FFF2-40B4-BE49-F238E27FC236}">
              <a16:creationId xmlns:a16="http://schemas.microsoft.com/office/drawing/2014/main" id="{999FE4FD-0B62-4331-B591-5A19C47D9AF2}"/>
            </a:ext>
          </a:extLst>
        </xdr:cNvPr>
        <xdr:cNvSpPr txBox="1"/>
      </xdr:nvSpPr>
      <xdr:spPr>
        <a:xfrm>
          <a:off x="3909779" y="5871106"/>
          <a:ext cx="606153" cy="437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80A7F2E-C4DF-48E4-A4BE-2F6A9E363537}" type="TxLink">
            <a:rPr lang="en-US" sz="2000" b="1" i="0" u="none" strike="noStrike">
              <a:solidFill>
                <a:srgbClr val="000000"/>
              </a:solidFill>
              <a:latin typeface="Calibri" panose="020F0502020204030204" pitchFamily="34" charset="0"/>
              <a:ea typeface="+mn-ea"/>
              <a:cs typeface="Calibri" panose="020F0502020204030204" pitchFamily="34" charset="0"/>
            </a:rPr>
            <a:pPr marL="0" indent="0" algn="ctr"/>
            <a:t>13   </a:t>
          </a:fld>
          <a:endParaRPr lang="pl-PL" sz="20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8</xdr:col>
      <xdr:colOff>221972</xdr:colOff>
      <xdr:row>30</xdr:row>
      <xdr:rowOff>182806</xdr:rowOff>
    </xdr:from>
    <xdr:to>
      <xdr:col>9</xdr:col>
      <xdr:colOff>220444</xdr:colOff>
      <xdr:row>32</xdr:row>
      <xdr:rowOff>121698</xdr:rowOff>
    </xdr:to>
    <xdr:sp macro="" textlink="'Pivot Tables'!V5">
      <xdr:nvSpPr>
        <xdr:cNvPr id="108" name="TextBox 107">
          <a:extLst>
            <a:ext uri="{FF2B5EF4-FFF2-40B4-BE49-F238E27FC236}">
              <a16:creationId xmlns:a16="http://schemas.microsoft.com/office/drawing/2014/main" id="{B4A41940-5967-4AA3-B1E3-AF99A1D44FD8}"/>
            </a:ext>
          </a:extLst>
        </xdr:cNvPr>
        <xdr:cNvSpPr txBox="1"/>
      </xdr:nvSpPr>
      <xdr:spPr>
        <a:xfrm>
          <a:off x="5125276" y="5897806"/>
          <a:ext cx="611385" cy="319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F3D8A0A-EEE3-4B1D-A18A-D09292EF3319}" type="TxLink">
            <a:rPr lang="en-US" sz="2000" b="1" i="0" u="none" strike="noStrike">
              <a:solidFill>
                <a:srgbClr val="000000"/>
              </a:solidFill>
              <a:latin typeface="Calibri" panose="020F0502020204030204" pitchFamily="34" charset="0"/>
              <a:ea typeface="+mn-ea"/>
              <a:cs typeface="Calibri" panose="020F0502020204030204" pitchFamily="34" charset="0"/>
            </a:rPr>
            <a:pPr marL="0" indent="0" algn="ctr"/>
            <a:t>17   </a:t>
          </a:fld>
          <a:endParaRPr lang="pl-PL" sz="48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10</xdr:col>
      <xdr:colOff>197827</xdr:colOff>
      <xdr:row>30</xdr:row>
      <xdr:rowOff>136326</xdr:rowOff>
    </xdr:from>
    <xdr:to>
      <xdr:col>11</xdr:col>
      <xdr:colOff>195895</xdr:colOff>
      <xdr:row>33</xdr:row>
      <xdr:rowOff>2558</xdr:rowOff>
    </xdr:to>
    <xdr:sp macro="" textlink="'Pivot Tables'!V6">
      <xdr:nvSpPr>
        <xdr:cNvPr id="109" name="TextBox 108">
          <a:extLst>
            <a:ext uri="{FF2B5EF4-FFF2-40B4-BE49-F238E27FC236}">
              <a16:creationId xmlns:a16="http://schemas.microsoft.com/office/drawing/2014/main" id="{2FEEE6EA-460D-4294-A114-4C8DD09FE47C}"/>
            </a:ext>
          </a:extLst>
        </xdr:cNvPr>
        <xdr:cNvSpPr txBox="1"/>
      </xdr:nvSpPr>
      <xdr:spPr>
        <a:xfrm>
          <a:off x="6326957" y="5851326"/>
          <a:ext cx="610981" cy="437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15ECF3-BCF4-44CB-8808-CE675931839F}" type="TxLink">
            <a:rPr lang="en-US" sz="2000" b="1" i="0" u="none" strike="noStrike">
              <a:solidFill>
                <a:srgbClr val="000000"/>
              </a:solidFill>
              <a:latin typeface="Calibri" panose="020F0502020204030204" pitchFamily="34" charset="0"/>
              <a:ea typeface="+mn-ea"/>
              <a:cs typeface="Calibri" panose="020F0502020204030204" pitchFamily="34" charset="0"/>
            </a:rPr>
            <a:pPr marL="0" indent="0" algn="ctr"/>
            <a:t>31   </a:t>
          </a:fld>
          <a:endParaRPr lang="pl-PL" sz="20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6</xdr:col>
      <xdr:colOff>271254</xdr:colOff>
      <xdr:row>33</xdr:row>
      <xdr:rowOff>153516</xdr:rowOff>
    </xdr:from>
    <xdr:to>
      <xdr:col>7</xdr:col>
      <xdr:colOff>381000</xdr:colOff>
      <xdr:row>36</xdr:row>
      <xdr:rowOff>19748</xdr:rowOff>
    </xdr:to>
    <xdr:sp macro="" textlink="'Pivot Tables'!W4">
      <xdr:nvSpPr>
        <xdr:cNvPr id="110" name="TextBox 109">
          <a:extLst>
            <a:ext uri="{FF2B5EF4-FFF2-40B4-BE49-F238E27FC236}">
              <a16:creationId xmlns:a16="http://schemas.microsoft.com/office/drawing/2014/main" id="{68A4A065-3800-46B3-BA12-A91EA86968B6}"/>
            </a:ext>
          </a:extLst>
        </xdr:cNvPr>
        <xdr:cNvSpPr txBox="1"/>
      </xdr:nvSpPr>
      <xdr:spPr>
        <a:xfrm>
          <a:off x="3928854" y="6440016"/>
          <a:ext cx="719346" cy="437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E3223BB-FB2F-499D-94A2-278F42AB322E}" type="TxLink">
            <a:rPr lang="en-US" sz="2400" b="1" i="0" u="none" strike="noStrike">
              <a:solidFill>
                <a:srgbClr val="000000"/>
              </a:solidFill>
              <a:latin typeface="Calibri" panose="020F0502020204030204" pitchFamily="34" charset="0"/>
              <a:ea typeface="+mn-ea"/>
              <a:cs typeface="Calibri" panose="020F0502020204030204" pitchFamily="34" charset="0"/>
            </a:rPr>
            <a:pPr marL="0" indent="0" algn="ctr"/>
            <a:t>21%</a:t>
          </a:fld>
          <a:endParaRPr lang="pl-PL" sz="54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8</xdr:col>
      <xdr:colOff>204749</xdr:colOff>
      <xdr:row>33</xdr:row>
      <xdr:rowOff>161494</xdr:rowOff>
    </xdr:from>
    <xdr:to>
      <xdr:col>9</xdr:col>
      <xdr:colOff>323850</xdr:colOff>
      <xdr:row>36</xdr:row>
      <xdr:rowOff>27726</xdr:rowOff>
    </xdr:to>
    <xdr:sp macro="" textlink="'Pivot Tables'!W5">
      <xdr:nvSpPr>
        <xdr:cNvPr id="111" name="TextBox 110">
          <a:extLst>
            <a:ext uri="{FF2B5EF4-FFF2-40B4-BE49-F238E27FC236}">
              <a16:creationId xmlns:a16="http://schemas.microsoft.com/office/drawing/2014/main" id="{2F8762B3-42D9-4189-8FC6-5C98A5CC60B6}"/>
            </a:ext>
          </a:extLst>
        </xdr:cNvPr>
        <xdr:cNvSpPr txBox="1"/>
      </xdr:nvSpPr>
      <xdr:spPr>
        <a:xfrm>
          <a:off x="5081549" y="6447994"/>
          <a:ext cx="728701" cy="437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BAD43C7-69C3-4F6F-A535-A6010D483F24}" type="TxLink">
            <a:rPr lang="en-US" sz="2400" b="1" i="0" u="none" strike="noStrike">
              <a:solidFill>
                <a:srgbClr val="000000"/>
              </a:solidFill>
              <a:latin typeface="Calibri" panose="020F0502020204030204" pitchFamily="34" charset="0"/>
              <a:ea typeface="+mn-ea"/>
              <a:cs typeface="Calibri" panose="020F0502020204030204" pitchFamily="34" charset="0"/>
            </a:rPr>
            <a:pPr marL="0" indent="0" algn="ctr"/>
            <a:t>28%</a:t>
          </a:fld>
          <a:endParaRPr lang="pl-PL" sz="24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10</xdr:col>
      <xdr:colOff>152957</xdr:colOff>
      <xdr:row>33</xdr:row>
      <xdr:rowOff>173871</xdr:rowOff>
    </xdr:from>
    <xdr:to>
      <xdr:col>11</xdr:col>
      <xdr:colOff>276224</xdr:colOff>
      <xdr:row>36</xdr:row>
      <xdr:rowOff>40103</xdr:rowOff>
    </xdr:to>
    <xdr:sp macro="" textlink="'Pivot Tables'!W6">
      <xdr:nvSpPr>
        <xdr:cNvPr id="112" name="TextBox 111">
          <a:extLst>
            <a:ext uri="{FF2B5EF4-FFF2-40B4-BE49-F238E27FC236}">
              <a16:creationId xmlns:a16="http://schemas.microsoft.com/office/drawing/2014/main" id="{BCDEB9C4-D690-4591-89DA-807E70ECC062}"/>
            </a:ext>
          </a:extLst>
        </xdr:cNvPr>
        <xdr:cNvSpPr txBox="1"/>
      </xdr:nvSpPr>
      <xdr:spPr>
        <a:xfrm>
          <a:off x="6248957" y="6460371"/>
          <a:ext cx="732867" cy="437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EE3F80-F033-432C-9087-BF5348AC5F8D}" type="TxLink">
            <a:rPr lang="en-US" sz="2400" b="1" i="0" u="none" strike="noStrike">
              <a:solidFill>
                <a:srgbClr val="000000"/>
              </a:solidFill>
              <a:latin typeface="Calibri" panose="020F0502020204030204" pitchFamily="34" charset="0"/>
              <a:ea typeface="+mn-ea"/>
              <a:cs typeface="Calibri" panose="020F0502020204030204" pitchFamily="34" charset="0"/>
            </a:rPr>
            <a:pPr marL="0" indent="0" algn="ctr"/>
            <a:t>51%</a:t>
          </a:fld>
          <a:endParaRPr lang="pl-PL" sz="24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23</xdr:col>
      <xdr:colOff>389280</xdr:colOff>
      <xdr:row>10</xdr:row>
      <xdr:rowOff>82826</xdr:rowOff>
    </xdr:from>
    <xdr:to>
      <xdr:col>27</xdr:col>
      <xdr:colOff>429717</xdr:colOff>
      <xdr:row>21</xdr:row>
      <xdr:rowOff>0</xdr:rowOff>
    </xdr:to>
    <xdr:grpSp>
      <xdr:nvGrpSpPr>
        <xdr:cNvPr id="117" name="Group 116">
          <a:extLst>
            <a:ext uri="{FF2B5EF4-FFF2-40B4-BE49-F238E27FC236}">
              <a16:creationId xmlns:a16="http://schemas.microsoft.com/office/drawing/2014/main" id="{4A013F4C-74C8-A73C-14EF-B57DAEAB594A}"/>
            </a:ext>
          </a:extLst>
        </xdr:cNvPr>
        <xdr:cNvGrpSpPr/>
      </xdr:nvGrpSpPr>
      <xdr:grpSpPr>
        <a:xfrm>
          <a:off x="14410080" y="1987826"/>
          <a:ext cx="2478837" cy="2012674"/>
          <a:chOff x="14486274" y="2460251"/>
          <a:chExt cx="2492088" cy="1963796"/>
        </a:xfrm>
      </xdr:grpSpPr>
      <xdr:grpSp>
        <xdr:nvGrpSpPr>
          <xdr:cNvPr id="57" name="Group 56">
            <a:extLst>
              <a:ext uri="{FF2B5EF4-FFF2-40B4-BE49-F238E27FC236}">
                <a16:creationId xmlns:a16="http://schemas.microsoft.com/office/drawing/2014/main" id="{5209027D-16A7-2D93-73E1-82798C86D980}"/>
              </a:ext>
            </a:extLst>
          </xdr:cNvPr>
          <xdr:cNvGrpSpPr/>
        </xdr:nvGrpSpPr>
        <xdr:grpSpPr>
          <a:xfrm>
            <a:off x="14486274" y="2460251"/>
            <a:ext cx="2492088" cy="1963796"/>
            <a:chOff x="14486282" y="1525337"/>
            <a:chExt cx="2492089" cy="1870102"/>
          </a:xfrm>
        </xdr:grpSpPr>
        <xdr:sp macro="" textlink="">
          <xdr:nvSpPr>
            <xdr:cNvPr id="41" name="Rectangle: Rounded Corners 40">
              <a:extLst>
                <a:ext uri="{FF2B5EF4-FFF2-40B4-BE49-F238E27FC236}">
                  <a16:creationId xmlns:a16="http://schemas.microsoft.com/office/drawing/2014/main" id="{FA1E22F3-5489-4F52-BD85-760EAA1610DA}"/>
                </a:ext>
              </a:extLst>
            </xdr:cNvPr>
            <xdr:cNvSpPr/>
          </xdr:nvSpPr>
          <xdr:spPr>
            <a:xfrm>
              <a:off x="14486282" y="1525337"/>
              <a:ext cx="2492089" cy="1870102"/>
            </a:xfrm>
            <a:prstGeom prst="roundRect">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43" name="TextBox 42">
              <a:extLst>
                <a:ext uri="{FF2B5EF4-FFF2-40B4-BE49-F238E27FC236}">
                  <a16:creationId xmlns:a16="http://schemas.microsoft.com/office/drawing/2014/main" id="{FC4295EA-0481-489C-B01B-DADDEB88BB47}"/>
                </a:ext>
              </a:extLst>
            </xdr:cNvPr>
            <xdr:cNvSpPr txBox="1"/>
          </xdr:nvSpPr>
          <xdr:spPr>
            <a:xfrm>
              <a:off x="14546915" y="1621260"/>
              <a:ext cx="1347411"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l-PL" sz="1400" b="1" i="0" u="none" strike="noStrike">
                  <a:solidFill>
                    <a:schemeClr val="tx1"/>
                  </a:solidFill>
                  <a:latin typeface="Calibri" panose="020F0502020204030204" pitchFamily="34" charset="0"/>
                  <a:ea typeface="+mn-ea"/>
                  <a:cs typeface="Calibri" panose="020F0502020204030204" pitchFamily="34" charset="0"/>
                </a:rPr>
                <a:t>Truck</a:t>
              </a:r>
              <a:r>
                <a:rPr lang="pl-PL" sz="1400" b="1" i="0" u="none" strike="noStrike" baseline="0">
                  <a:solidFill>
                    <a:schemeClr val="tx1"/>
                  </a:solidFill>
                  <a:latin typeface="Calibri" panose="020F0502020204030204" pitchFamily="34" charset="0"/>
                  <a:ea typeface="+mn-ea"/>
                  <a:cs typeface="Calibri" panose="020F0502020204030204" pitchFamily="34" charset="0"/>
                </a:rPr>
                <a:t> Expenses</a:t>
              </a:r>
              <a:endParaRPr lang="pl-PL" sz="1400" b="1" i="0" u="none" strike="noStrike">
                <a:solidFill>
                  <a:schemeClr val="tx1"/>
                </a:solidFill>
                <a:latin typeface="Calibri" panose="020F0502020204030204" pitchFamily="34" charset="0"/>
                <a:ea typeface="+mn-ea"/>
                <a:cs typeface="Calibri" panose="020F0502020204030204" pitchFamily="34" charset="0"/>
              </a:endParaRPr>
            </a:p>
          </xdr:txBody>
        </xdr:sp>
        <xdr:sp macro="" textlink="">
          <xdr:nvSpPr>
            <xdr:cNvPr id="45" name="TextBox 44">
              <a:extLst>
                <a:ext uri="{FF2B5EF4-FFF2-40B4-BE49-F238E27FC236}">
                  <a16:creationId xmlns:a16="http://schemas.microsoft.com/office/drawing/2014/main" id="{9904BEBC-AC7F-45EA-85FB-B40BA1A72C83}"/>
                </a:ext>
              </a:extLst>
            </xdr:cNvPr>
            <xdr:cNvSpPr txBox="1"/>
          </xdr:nvSpPr>
          <xdr:spPr>
            <a:xfrm>
              <a:off x="14489766" y="1881541"/>
              <a:ext cx="918786"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l-PL" sz="1200" b="0" i="0" u="none" strike="noStrike">
                  <a:solidFill>
                    <a:schemeClr val="tx1"/>
                  </a:solidFill>
                  <a:latin typeface="Calibri" panose="020F0502020204030204" pitchFamily="34" charset="0"/>
                  <a:ea typeface="+mn-ea"/>
                  <a:cs typeface="Calibri" panose="020F0502020204030204" pitchFamily="34" charset="0"/>
                </a:rPr>
                <a:t>Insurance</a:t>
              </a:r>
            </a:p>
          </xdr:txBody>
        </xdr:sp>
        <xdr:sp macro="" textlink="">
          <xdr:nvSpPr>
            <xdr:cNvPr id="46" name="TextBox 45">
              <a:extLst>
                <a:ext uri="{FF2B5EF4-FFF2-40B4-BE49-F238E27FC236}">
                  <a16:creationId xmlns:a16="http://schemas.microsoft.com/office/drawing/2014/main" id="{EEFAB060-6B8F-4705-8878-7632C10DAF9E}"/>
                </a:ext>
              </a:extLst>
            </xdr:cNvPr>
            <xdr:cNvSpPr txBox="1"/>
          </xdr:nvSpPr>
          <xdr:spPr>
            <a:xfrm>
              <a:off x="14489766" y="2179197"/>
              <a:ext cx="524947"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l-PL" sz="1200" b="0" i="0" u="none" strike="noStrike">
                  <a:solidFill>
                    <a:schemeClr val="tx1"/>
                  </a:solidFill>
                  <a:latin typeface="Calibri" panose="020F0502020204030204" pitchFamily="34" charset="0"/>
                  <a:ea typeface="+mn-ea"/>
                  <a:cs typeface="Calibri" panose="020F0502020204030204" pitchFamily="34" charset="0"/>
                </a:rPr>
                <a:t>Fuel</a:t>
              </a:r>
              <a:endParaRPr lang="pl-PL" sz="1400" b="0" i="0" u="none" strike="noStrike">
                <a:solidFill>
                  <a:schemeClr val="tx1"/>
                </a:solidFill>
                <a:latin typeface="Calibri" panose="020F0502020204030204" pitchFamily="34" charset="0"/>
                <a:ea typeface="+mn-ea"/>
                <a:cs typeface="Calibri" panose="020F0502020204030204" pitchFamily="34" charset="0"/>
              </a:endParaRPr>
            </a:p>
          </xdr:txBody>
        </xdr:sp>
        <xdr:sp macro="" textlink="">
          <xdr:nvSpPr>
            <xdr:cNvPr id="47" name="TextBox 46">
              <a:extLst>
                <a:ext uri="{FF2B5EF4-FFF2-40B4-BE49-F238E27FC236}">
                  <a16:creationId xmlns:a16="http://schemas.microsoft.com/office/drawing/2014/main" id="{3310762A-F2C3-47D3-A019-BEEB4661386B}"/>
                </a:ext>
              </a:extLst>
            </xdr:cNvPr>
            <xdr:cNvSpPr txBox="1"/>
          </xdr:nvSpPr>
          <xdr:spPr>
            <a:xfrm>
              <a:off x="14489766" y="2437416"/>
              <a:ext cx="918786"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l-PL" sz="1200" b="0" i="0" u="none" strike="noStrike">
                  <a:solidFill>
                    <a:schemeClr val="tx1"/>
                  </a:solidFill>
                  <a:latin typeface="Calibri" panose="020F0502020204030204" pitchFamily="34" charset="0"/>
                  <a:ea typeface="+mn-ea"/>
                  <a:cs typeface="Calibri" panose="020F0502020204030204" pitchFamily="34" charset="0"/>
                </a:rPr>
                <a:t>Ad</a:t>
              </a:r>
              <a:r>
                <a:rPr lang="pl-PL" sz="1200" b="0" i="0" u="none" strike="noStrike" baseline="0">
                  <a:solidFill>
                    <a:schemeClr val="tx1"/>
                  </a:solidFill>
                  <a:latin typeface="Calibri" panose="020F0502020204030204" pitchFamily="34" charset="0"/>
                  <a:ea typeface="+mn-ea"/>
                  <a:cs typeface="Calibri" panose="020F0502020204030204" pitchFamily="34" charset="0"/>
                </a:rPr>
                <a:t>Blue</a:t>
              </a:r>
              <a:endParaRPr lang="pl-PL" sz="1400" b="0" i="0" u="none" strike="noStrike">
                <a:solidFill>
                  <a:schemeClr val="tx1"/>
                </a:solidFill>
                <a:latin typeface="Calibri" panose="020F0502020204030204" pitchFamily="34" charset="0"/>
                <a:ea typeface="+mn-ea"/>
                <a:cs typeface="Calibri" panose="020F0502020204030204" pitchFamily="34" charset="0"/>
              </a:endParaRPr>
            </a:p>
          </xdr:txBody>
        </xdr:sp>
        <xdr:sp macro="" textlink="">
          <xdr:nvSpPr>
            <xdr:cNvPr id="48" name="TextBox 47">
              <a:extLst>
                <a:ext uri="{FF2B5EF4-FFF2-40B4-BE49-F238E27FC236}">
                  <a16:creationId xmlns:a16="http://schemas.microsoft.com/office/drawing/2014/main" id="{430A394F-6B0C-45C3-A1B5-CDA90916B33B}"/>
                </a:ext>
              </a:extLst>
            </xdr:cNvPr>
            <xdr:cNvSpPr txBox="1"/>
          </xdr:nvSpPr>
          <xdr:spPr>
            <a:xfrm>
              <a:off x="14489766" y="2727186"/>
              <a:ext cx="918786"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l-PL" sz="1200" b="0" i="0" u="none" strike="noStrike">
                  <a:solidFill>
                    <a:schemeClr val="tx1"/>
                  </a:solidFill>
                  <a:latin typeface="Calibri" panose="020F0502020204030204" pitchFamily="34" charset="0"/>
                  <a:ea typeface="+mn-ea"/>
                  <a:cs typeface="Calibri" panose="020F0502020204030204" pitchFamily="34" charset="0"/>
                </a:rPr>
                <a:t>Advance</a:t>
              </a:r>
              <a:endParaRPr lang="pl-PL" sz="1400" b="0" i="0" u="none" strike="noStrike">
                <a:solidFill>
                  <a:schemeClr val="tx1"/>
                </a:solidFill>
                <a:latin typeface="Calibri" panose="020F0502020204030204" pitchFamily="34" charset="0"/>
                <a:ea typeface="+mn-ea"/>
                <a:cs typeface="Calibri" panose="020F0502020204030204" pitchFamily="34" charset="0"/>
              </a:endParaRPr>
            </a:p>
          </xdr:txBody>
        </xdr:sp>
        <xdr:cxnSp macro="">
          <xdr:nvCxnSpPr>
            <xdr:cNvPr id="49" name="Straight Connector 48">
              <a:extLst>
                <a:ext uri="{FF2B5EF4-FFF2-40B4-BE49-F238E27FC236}">
                  <a16:creationId xmlns:a16="http://schemas.microsoft.com/office/drawing/2014/main" id="{EB1F1A94-E48B-4D34-AB92-54A65B094680}"/>
                </a:ext>
              </a:extLst>
            </xdr:cNvPr>
            <xdr:cNvCxnSpPr/>
          </xdr:nvCxnSpPr>
          <xdr:spPr>
            <a:xfrm>
              <a:off x="14576769" y="2189703"/>
              <a:ext cx="2246917"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51" name="Straight Connector 50">
              <a:extLst>
                <a:ext uri="{FF2B5EF4-FFF2-40B4-BE49-F238E27FC236}">
                  <a16:creationId xmlns:a16="http://schemas.microsoft.com/office/drawing/2014/main" id="{E5F041A5-26AC-4D19-9BB9-DD03ABC14F82}"/>
                </a:ext>
              </a:extLst>
            </xdr:cNvPr>
            <xdr:cNvCxnSpPr/>
          </xdr:nvCxnSpPr>
          <xdr:spPr>
            <a:xfrm>
              <a:off x="14576769" y="2702621"/>
              <a:ext cx="2246917"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798C7A98-97E9-450E-9A5A-B3E876BBE154}"/>
                </a:ext>
              </a:extLst>
            </xdr:cNvPr>
            <xdr:cNvCxnSpPr/>
          </xdr:nvCxnSpPr>
          <xdr:spPr>
            <a:xfrm>
              <a:off x="14576769" y="2435441"/>
              <a:ext cx="2246917"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sp macro="" textlink="'Pivot Tables'!P4">
          <xdr:nvSpPr>
            <xdr:cNvPr id="53" name="TextBox 52">
              <a:extLst>
                <a:ext uri="{FF2B5EF4-FFF2-40B4-BE49-F238E27FC236}">
                  <a16:creationId xmlns:a16="http://schemas.microsoft.com/office/drawing/2014/main" id="{3D53309B-B97E-42F6-ADEA-D91EAFC2082A}"/>
                </a:ext>
              </a:extLst>
            </xdr:cNvPr>
            <xdr:cNvSpPr txBox="1"/>
          </xdr:nvSpPr>
          <xdr:spPr>
            <a:xfrm>
              <a:off x="16225630" y="1914561"/>
              <a:ext cx="712800"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6382E4-A481-40E1-97D5-068871E06FBA}" type="TxLink">
                <a:rPr lang="en-US" sz="1200" b="1" i="0" u="none" strike="noStrike">
                  <a:solidFill>
                    <a:srgbClr val="000000"/>
                  </a:solidFill>
                  <a:latin typeface="Calibri" panose="020F0502020204030204" pitchFamily="34" charset="0"/>
                  <a:ea typeface="+mn-ea"/>
                  <a:cs typeface="Calibri" panose="020F0502020204030204" pitchFamily="34" charset="0"/>
                </a:rPr>
                <a:pPr marL="0" indent="0"/>
                <a:t>$8 052</a:t>
              </a:fld>
              <a:endParaRPr lang="pl-PL" sz="1600" b="1" i="0" u="none" strike="noStrike">
                <a:solidFill>
                  <a:schemeClr val="tx1"/>
                </a:solidFill>
                <a:latin typeface="Calibri" panose="020F0502020204030204" pitchFamily="34" charset="0"/>
                <a:ea typeface="+mn-ea"/>
                <a:cs typeface="Calibri" panose="020F0502020204030204" pitchFamily="34" charset="0"/>
              </a:endParaRPr>
            </a:p>
          </xdr:txBody>
        </xdr:sp>
        <xdr:sp macro="" textlink="'Pivot Tables'!Q4">
          <xdr:nvSpPr>
            <xdr:cNvPr id="54" name="TextBox 53">
              <a:extLst>
                <a:ext uri="{FF2B5EF4-FFF2-40B4-BE49-F238E27FC236}">
                  <a16:creationId xmlns:a16="http://schemas.microsoft.com/office/drawing/2014/main" id="{83DC5AEC-E5A8-4D94-BBC0-25C4E71CBE3A}"/>
                </a:ext>
              </a:extLst>
            </xdr:cNvPr>
            <xdr:cNvSpPr txBox="1"/>
          </xdr:nvSpPr>
          <xdr:spPr>
            <a:xfrm>
              <a:off x="16226694" y="2184356"/>
              <a:ext cx="711736"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039774-ABC4-4006-98BA-D30AAAA6E524}" type="TxLink">
                <a:rPr lang="en-US" sz="1200" b="1" i="0" u="none" strike="noStrike">
                  <a:solidFill>
                    <a:srgbClr val="000000"/>
                  </a:solidFill>
                  <a:latin typeface="Calibri" panose="020F0502020204030204" pitchFamily="34" charset="0"/>
                  <a:ea typeface="+mn-ea"/>
                  <a:cs typeface="Calibri" panose="020F0502020204030204" pitchFamily="34" charset="0"/>
                </a:rPr>
                <a:pPr marL="0" indent="0"/>
                <a:t>$23 720</a:t>
              </a:fld>
              <a:endParaRPr lang="pl-PL" sz="1600" b="1" i="0" u="none" strike="noStrike">
                <a:solidFill>
                  <a:schemeClr val="tx1"/>
                </a:solidFill>
                <a:latin typeface="Calibri" panose="020F0502020204030204" pitchFamily="34" charset="0"/>
                <a:ea typeface="+mn-ea"/>
                <a:cs typeface="Calibri" panose="020F0502020204030204" pitchFamily="34" charset="0"/>
              </a:endParaRPr>
            </a:p>
          </xdr:txBody>
        </xdr:sp>
        <xdr:sp macro="" textlink="'Pivot Tables'!R4">
          <xdr:nvSpPr>
            <xdr:cNvPr id="55" name="TextBox 54">
              <a:extLst>
                <a:ext uri="{FF2B5EF4-FFF2-40B4-BE49-F238E27FC236}">
                  <a16:creationId xmlns:a16="http://schemas.microsoft.com/office/drawing/2014/main" id="{C58D6CF8-E805-4BD2-B8B5-523CE61A7CFC}"/>
                </a:ext>
              </a:extLst>
            </xdr:cNvPr>
            <xdr:cNvSpPr txBox="1"/>
          </xdr:nvSpPr>
          <xdr:spPr>
            <a:xfrm>
              <a:off x="16225630" y="2426453"/>
              <a:ext cx="712800"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E05B7F7-1073-4C6C-925A-52575D0A5EF2}" type="TxLink">
                <a:rPr lang="en-US" sz="1200" b="1" i="0" u="none" strike="noStrike">
                  <a:solidFill>
                    <a:srgbClr val="000000"/>
                  </a:solidFill>
                  <a:latin typeface="Calibri" panose="020F0502020204030204" pitchFamily="34" charset="0"/>
                  <a:ea typeface="+mn-ea"/>
                  <a:cs typeface="Calibri" panose="020F0502020204030204" pitchFamily="34" charset="0"/>
                </a:rPr>
                <a:pPr marL="0" indent="0"/>
                <a:t>$3 164</a:t>
              </a:fld>
              <a:endParaRPr lang="pl-PL" sz="1600" b="1" i="0" u="none" strike="noStrike">
                <a:solidFill>
                  <a:schemeClr val="tx1"/>
                </a:solidFill>
                <a:latin typeface="Calibri" panose="020F0502020204030204" pitchFamily="34" charset="0"/>
                <a:ea typeface="+mn-ea"/>
                <a:cs typeface="Calibri" panose="020F0502020204030204" pitchFamily="34" charset="0"/>
              </a:endParaRPr>
            </a:p>
          </xdr:txBody>
        </xdr:sp>
        <xdr:sp macro="" textlink="'Pivot Tables'!S4">
          <xdr:nvSpPr>
            <xdr:cNvPr id="56" name="TextBox 55">
              <a:extLst>
                <a:ext uri="{FF2B5EF4-FFF2-40B4-BE49-F238E27FC236}">
                  <a16:creationId xmlns:a16="http://schemas.microsoft.com/office/drawing/2014/main" id="{4048B6F8-7844-40EB-B974-3633A3A7BDC3}"/>
                </a:ext>
              </a:extLst>
            </xdr:cNvPr>
            <xdr:cNvSpPr txBox="1"/>
          </xdr:nvSpPr>
          <xdr:spPr>
            <a:xfrm>
              <a:off x="16225630" y="2747424"/>
              <a:ext cx="712800"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EEE04F9-86FD-4DFB-A078-DBFEE194CEE6}" type="TxLink">
                <a:rPr lang="en-US" sz="1200" b="1" i="0" u="none" strike="noStrike">
                  <a:solidFill>
                    <a:srgbClr val="000000"/>
                  </a:solidFill>
                  <a:latin typeface="Calibri" panose="020F0502020204030204" pitchFamily="34" charset="0"/>
                  <a:ea typeface="+mn-ea"/>
                  <a:cs typeface="Calibri" panose="020F0502020204030204" pitchFamily="34" charset="0"/>
                </a:rPr>
                <a:pPr marL="0" indent="0"/>
                <a:t>$15 250</a:t>
              </a:fld>
              <a:endParaRPr lang="pl-PL" sz="1600" b="1" i="0" u="none" strike="noStrike">
                <a:solidFill>
                  <a:schemeClr val="tx1"/>
                </a:solidFill>
                <a:latin typeface="Calibri" panose="020F0502020204030204" pitchFamily="34" charset="0"/>
                <a:ea typeface="+mn-ea"/>
                <a:cs typeface="Calibri" panose="020F0502020204030204" pitchFamily="34" charset="0"/>
              </a:endParaRPr>
            </a:p>
          </xdr:txBody>
        </xdr:sp>
      </xdr:grpSp>
      <xdr:sp macro="" textlink="'Pivot Tables'!Q6">
        <xdr:nvSpPr>
          <xdr:cNvPr id="87" name="TextBox 86">
            <a:extLst>
              <a:ext uri="{FF2B5EF4-FFF2-40B4-BE49-F238E27FC236}">
                <a16:creationId xmlns:a16="http://schemas.microsoft.com/office/drawing/2014/main" id="{4D3BE5D1-AB8D-4A2A-A636-467E5C9A7A6C}"/>
              </a:ext>
            </a:extLst>
          </xdr:cNvPr>
          <xdr:cNvSpPr txBox="1"/>
        </xdr:nvSpPr>
        <xdr:spPr>
          <a:xfrm>
            <a:off x="15953547" y="2559071"/>
            <a:ext cx="790593"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EDBF354-1985-4E33-AE05-FC4655DFE82E}" type="TxLink">
              <a:rPr lang="en-US" sz="1400" b="1" i="0" u="none" strike="noStrike">
                <a:solidFill>
                  <a:srgbClr val="000000"/>
                </a:solidFill>
                <a:latin typeface="Calibri" panose="020F0502020204030204" pitchFamily="34" charset="0"/>
                <a:ea typeface="+mn-ea"/>
                <a:cs typeface="Calibri" panose="020F0502020204030204" pitchFamily="34" charset="0"/>
              </a:rPr>
              <a:pPr marL="0" indent="0"/>
              <a:t>$50 186</a:t>
            </a:fld>
            <a:endParaRPr lang="pl-PL" sz="2000" b="1" i="0" u="none" strike="noStrike">
              <a:solidFill>
                <a:schemeClr val="tx1"/>
              </a:solidFill>
              <a:latin typeface="Calibri" panose="020F0502020204030204" pitchFamily="34" charset="0"/>
              <a:ea typeface="+mn-ea"/>
              <a:cs typeface="Calibri" panose="020F0502020204030204" pitchFamily="34" charset="0"/>
            </a:endParaRPr>
          </a:p>
        </xdr:txBody>
      </xdr:sp>
    </xdr:grpSp>
    <xdr:clientData/>
  </xdr:twoCellAnchor>
  <xdr:twoCellAnchor>
    <xdr:from>
      <xdr:col>6</xdr:col>
      <xdr:colOff>314739</xdr:colOff>
      <xdr:row>30</xdr:row>
      <xdr:rowOff>70586</xdr:rowOff>
    </xdr:from>
    <xdr:to>
      <xdr:col>11</xdr:col>
      <xdr:colOff>231914</xdr:colOff>
      <xdr:row>30</xdr:row>
      <xdr:rowOff>70586</xdr:rowOff>
    </xdr:to>
    <xdr:cxnSp macro="">
      <xdr:nvCxnSpPr>
        <xdr:cNvPr id="64" name="Straight Connector 87">
          <a:extLst>
            <a:ext uri="{FF2B5EF4-FFF2-40B4-BE49-F238E27FC236}">
              <a16:creationId xmlns:a16="http://schemas.microsoft.com/office/drawing/2014/main" id="{67E2E6E6-8F66-4049-94B3-A51AE5B4747C}"/>
            </a:ext>
          </a:extLst>
        </xdr:cNvPr>
        <xdr:cNvCxnSpPr/>
      </xdr:nvCxnSpPr>
      <xdr:spPr>
        <a:xfrm>
          <a:off x="3992217" y="5785586"/>
          <a:ext cx="2981740"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293204</xdr:colOff>
      <xdr:row>33</xdr:row>
      <xdr:rowOff>32486</xdr:rowOff>
    </xdr:from>
    <xdr:to>
      <xdr:col>11</xdr:col>
      <xdr:colOff>210379</xdr:colOff>
      <xdr:row>33</xdr:row>
      <xdr:rowOff>32486</xdr:rowOff>
    </xdr:to>
    <xdr:cxnSp macro="">
      <xdr:nvCxnSpPr>
        <xdr:cNvPr id="100" name="Straight Connector 87">
          <a:extLst>
            <a:ext uri="{FF2B5EF4-FFF2-40B4-BE49-F238E27FC236}">
              <a16:creationId xmlns:a16="http://schemas.microsoft.com/office/drawing/2014/main" id="{535802C7-2F32-4381-9291-3A30F7F0EB41}"/>
            </a:ext>
          </a:extLst>
        </xdr:cNvPr>
        <xdr:cNvCxnSpPr/>
      </xdr:nvCxnSpPr>
      <xdr:spPr>
        <a:xfrm>
          <a:off x="3970682" y="6318986"/>
          <a:ext cx="2981740"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483290</xdr:colOff>
      <xdr:row>19</xdr:row>
      <xdr:rowOff>9721</xdr:rowOff>
    </xdr:from>
    <xdr:to>
      <xdr:col>27</xdr:col>
      <xdr:colOff>279859</xdr:colOff>
      <xdr:row>19</xdr:row>
      <xdr:rowOff>9721</xdr:rowOff>
    </xdr:to>
    <xdr:cxnSp macro="">
      <xdr:nvCxnSpPr>
        <xdr:cNvPr id="16" name="Straight Connector 65">
          <a:extLst>
            <a:ext uri="{FF2B5EF4-FFF2-40B4-BE49-F238E27FC236}">
              <a16:creationId xmlns:a16="http://schemas.microsoft.com/office/drawing/2014/main" id="{08F7E1C5-9EF5-4147-B74A-E9BCE784275C}"/>
            </a:ext>
          </a:extLst>
        </xdr:cNvPr>
        <xdr:cNvCxnSpPr/>
      </xdr:nvCxnSpPr>
      <xdr:spPr>
        <a:xfrm>
          <a:off x="14504090" y="3629221"/>
          <a:ext cx="2234969"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407090</xdr:colOff>
      <xdr:row>19</xdr:row>
      <xdr:rowOff>28771</xdr:rowOff>
    </xdr:from>
    <xdr:to>
      <xdr:col>25</xdr:col>
      <xdr:colOff>101790</xdr:colOff>
      <xdr:row>21</xdr:row>
      <xdr:rowOff>33071</xdr:rowOff>
    </xdr:to>
    <xdr:sp macro="" textlink="'Pivot Tables'!R16">
      <xdr:nvSpPr>
        <xdr:cNvPr id="67" name="TextBox 62">
          <a:extLst>
            <a:ext uri="{FF2B5EF4-FFF2-40B4-BE49-F238E27FC236}">
              <a16:creationId xmlns:a16="http://schemas.microsoft.com/office/drawing/2014/main" id="{A089E4FB-014F-4DCE-A2C4-586EA1BE7D85}"/>
            </a:ext>
          </a:extLst>
        </xdr:cNvPr>
        <xdr:cNvSpPr txBox="1"/>
      </xdr:nvSpPr>
      <xdr:spPr>
        <a:xfrm>
          <a:off x="14427890" y="3648271"/>
          <a:ext cx="913900" cy="38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l-PL" sz="1200" b="0" i="0" u="none" strike="noStrike">
              <a:solidFill>
                <a:srgbClr val="000000"/>
              </a:solidFill>
              <a:latin typeface="Calibri" panose="020F0502020204030204" pitchFamily="34" charset="0"/>
              <a:ea typeface="+mn-ea"/>
              <a:cs typeface="Calibri" panose="020F0502020204030204" pitchFamily="34" charset="0"/>
            </a:rPr>
            <a:t>Repairs</a:t>
          </a:r>
          <a:endParaRPr lang="pl-PL" sz="1400" b="0" i="0" u="none" strike="noStrike">
            <a:solidFill>
              <a:schemeClr val="tx1"/>
            </a:solidFill>
            <a:latin typeface="Calibri" panose="020F0502020204030204" pitchFamily="34" charset="0"/>
            <a:ea typeface="+mn-ea"/>
            <a:cs typeface="Calibri" panose="020F0502020204030204" pitchFamily="34" charset="0"/>
          </a:endParaRPr>
        </a:p>
      </xdr:txBody>
    </xdr:sp>
    <xdr:clientData/>
  </xdr:twoCellAnchor>
  <xdr:twoCellAnchor>
    <xdr:from>
      <xdr:col>26</xdr:col>
      <xdr:colOff>266700</xdr:colOff>
      <xdr:row>19</xdr:row>
      <xdr:rowOff>35201</xdr:rowOff>
    </xdr:from>
    <xdr:to>
      <xdr:col>27</xdr:col>
      <xdr:colOff>336290</xdr:colOff>
      <xdr:row>20</xdr:row>
      <xdr:rowOff>164065</xdr:rowOff>
    </xdr:to>
    <xdr:sp macro="" textlink="'Pivot Tables'!S17">
      <xdr:nvSpPr>
        <xdr:cNvPr id="71" name="TextBox 55">
          <a:extLst>
            <a:ext uri="{FF2B5EF4-FFF2-40B4-BE49-F238E27FC236}">
              <a16:creationId xmlns:a16="http://schemas.microsoft.com/office/drawing/2014/main" id="{E1AB1BA3-D796-4305-BFE4-3CF6B89A3E30}"/>
            </a:ext>
          </a:extLst>
        </xdr:cNvPr>
        <xdr:cNvSpPr txBox="1"/>
      </xdr:nvSpPr>
      <xdr:spPr>
        <a:xfrm>
          <a:off x="16116300" y="3654701"/>
          <a:ext cx="679190" cy="319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ED147CD-3E9D-435A-93EF-FA2E82F44A2B}" type="TxLink">
            <a:rPr lang="en-US" sz="1200" b="1" i="0" u="none" strike="noStrike">
              <a:solidFill>
                <a:srgbClr val="000000"/>
              </a:solidFill>
              <a:latin typeface="Calibri" panose="020F0502020204030204" pitchFamily="34" charset="0"/>
              <a:ea typeface="+mn-ea"/>
              <a:cs typeface="Calibri" panose="020F0502020204030204" pitchFamily="34" charset="0"/>
            </a:rPr>
            <a:pPr marL="0" indent="0"/>
            <a:t>$2 215</a:t>
          </a:fld>
          <a:endParaRPr lang="pl-PL" sz="1200" b="1"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23</xdr:col>
      <xdr:colOff>375244</xdr:colOff>
      <xdr:row>32</xdr:row>
      <xdr:rowOff>12704</xdr:rowOff>
    </xdr:from>
    <xdr:to>
      <xdr:col>25</xdr:col>
      <xdr:colOff>533130</xdr:colOff>
      <xdr:row>33</xdr:row>
      <xdr:rowOff>118945</xdr:rowOff>
    </xdr:to>
    <xdr:sp macro="" textlink="'Pivot Tables'!U30">
      <xdr:nvSpPr>
        <xdr:cNvPr id="89" name="TextBox 88">
          <a:extLst>
            <a:ext uri="{FF2B5EF4-FFF2-40B4-BE49-F238E27FC236}">
              <a16:creationId xmlns:a16="http://schemas.microsoft.com/office/drawing/2014/main" id="{F4ECBBB2-5A5F-42DC-81A5-68BBB39348F7}"/>
            </a:ext>
          </a:extLst>
        </xdr:cNvPr>
        <xdr:cNvSpPr txBox="1"/>
      </xdr:nvSpPr>
      <xdr:spPr>
        <a:xfrm>
          <a:off x="14396044" y="6108704"/>
          <a:ext cx="1377086"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F61E2F4-529E-4384-B1A2-500597C21C1D}" type="TxLink">
            <a:rPr lang="en-US" sz="1200" b="0" i="0" u="none" strike="noStrike">
              <a:solidFill>
                <a:srgbClr val="000000"/>
              </a:solidFill>
              <a:latin typeface="Calibri" panose="020F0502020204030204" pitchFamily="34" charset="0"/>
              <a:ea typeface="+mn-ea"/>
              <a:cs typeface="Calibri" panose="020F0502020204030204" pitchFamily="34" charset="0"/>
            </a:rPr>
            <a:pPr marL="0" indent="0"/>
            <a:t>Costs Driver Paid</a:t>
          </a:fld>
          <a:endParaRPr lang="pl-PL" sz="1200" b="0"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26</xdr:col>
      <xdr:colOff>113848</xdr:colOff>
      <xdr:row>32</xdr:row>
      <xdr:rowOff>20384</xdr:rowOff>
    </xdr:from>
    <xdr:to>
      <xdr:col>27</xdr:col>
      <xdr:colOff>288754</xdr:colOff>
      <xdr:row>33</xdr:row>
      <xdr:rowOff>126625</xdr:rowOff>
    </xdr:to>
    <xdr:sp macro="" textlink="'Pivot Tables'!U31">
      <xdr:nvSpPr>
        <xdr:cNvPr id="90" name="TextBox 89">
          <a:extLst>
            <a:ext uri="{FF2B5EF4-FFF2-40B4-BE49-F238E27FC236}">
              <a16:creationId xmlns:a16="http://schemas.microsoft.com/office/drawing/2014/main" id="{A1B8FA11-AFEE-477F-9C8B-752828CC8978}"/>
            </a:ext>
          </a:extLst>
        </xdr:cNvPr>
        <xdr:cNvSpPr txBox="1"/>
      </xdr:nvSpPr>
      <xdr:spPr>
        <a:xfrm>
          <a:off x="15963448" y="6116384"/>
          <a:ext cx="784506" cy="29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2DC3EA0-9CF8-4EB7-8CF6-447B6C8BA6AA}" type="TxLink">
            <a:rPr lang="en-US" sz="1200" b="1" i="0" u="none" strike="noStrike">
              <a:solidFill>
                <a:srgbClr val="000000"/>
              </a:solidFill>
              <a:latin typeface="Aptos Narrow"/>
              <a:ea typeface="+mn-ea"/>
              <a:cs typeface="Calibri" panose="020F0502020204030204" pitchFamily="34" charset="0"/>
            </a:rPr>
            <a:pPr marL="0" indent="0"/>
            <a:t> $3 498 </a:t>
          </a:fld>
          <a:endParaRPr lang="pl-PL" sz="1200" b="1" i="0" u="none" strike="noStrike">
            <a:solidFill>
              <a:srgbClr val="000000"/>
            </a:solidFill>
            <a:latin typeface="Aptos Narrow"/>
            <a:ea typeface="+mn-ea"/>
            <a:cs typeface="Calibri" panose="020F0502020204030204" pitchFamily="34" charset="0"/>
          </a:endParaRPr>
        </a:p>
      </xdr:txBody>
    </xdr:sp>
    <xdr:clientData/>
  </xdr:twoCellAnchor>
  <xdr:twoCellAnchor>
    <xdr:from>
      <xdr:col>23</xdr:col>
      <xdr:colOff>472734</xdr:colOff>
      <xdr:row>31</xdr:row>
      <xdr:rowOff>143473</xdr:rowOff>
    </xdr:from>
    <xdr:to>
      <xdr:col>27</xdr:col>
      <xdr:colOff>103109</xdr:colOff>
      <xdr:row>31</xdr:row>
      <xdr:rowOff>143473</xdr:rowOff>
    </xdr:to>
    <xdr:cxnSp macro="">
      <xdr:nvCxnSpPr>
        <xdr:cNvPr id="88" name="Straight Connector 87">
          <a:extLst>
            <a:ext uri="{FF2B5EF4-FFF2-40B4-BE49-F238E27FC236}">
              <a16:creationId xmlns:a16="http://schemas.microsoft.com/office/drawing/2014/main" id="{6C0B0B8F-42BF-43D9-B31D-C0508AEFC745}"/>
            </a:ext>
          </a:extLst>
        </xdr:cNvPr>
        <xdr:cNvCxnSpPr/>
      </xdr:nvCxnSpPr>
      <xdr:spPr>
        <a:xfrm>
          <a:off x="14493534" y="6048973"/>
          <a:ext cx="2068775"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314325</xdr:colOff>
      <xdr:row>27</xdr:row>
      <xdr:rowOff>138112</xdr:rowOff>
    </xdr:from>
    <xdr:to>
      <xdr:col>13</xdr:col>
      <xdr:colOff>466725</xdr:colOff>
      <xdr:row>42</xdr:row>
      <xdr:rowOff>23812</xdr:rowOff>
    </xdr:to>
    <xdr:graphicFrame macro="">
      <xdr:nvGraphicFramePr>
        <xdr:cNvPr id="2" name="Chart 1">
          <a:extLst>
            <a:ext uri="{FF2B5EF4-FFF2-40B4-BE49-F238E27FC236}">
              <a16:creationId xmlns:a16="http://schemas.microsoft.com/office/drawing/2014/main" id="{7D4394A8-DB67-B419-1838-D6E02DE93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348781</xdr:colOff>
      <xdr:row>44</xdr:row>
      <xdr:rowOff>75010</xdr:rowOff>
    </xdr:from>
    <xdr:to>
      <xdr:col>16</xdr:col>
      <xdr:colOff>124946</xdr:colOff>
      <xdr:row>46</xdr:row>
      <xdr:rowOff>134471</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27B86290-8076-9ADB-CE8C-01E52634703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523222" y="8457010"/>
              <a:ext cx="9781337" cy="440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425823</xdr:colOff>
      <xdr:row>48</xdr:row>
      <xdr:rowOff>67796</xdr:rowOff>
    </xdr:from>
    <xdr:to>
      <xdr:col>8</xdr:col>
      <xdr:colOff>809064</xdr:colOff>
      <xdr:row>56</xdr:row>
      <xdr:rowOff>112059</xdr:rowOff>
    </xdr:to>
    <mc:AlternateContent xmlns:mc="http://schemas.openxmlformats.org/markup-compatibility/2006" xmlns:a14="http://schemas.microsoft.com/office/drawing/2010/main">
      <mc:Choice Requires="a14">
        <xdr:graphicFrame macro="">
          <xdr:nvGraphicFramePr>
            <xdr:cNvPr id="5" name="Driver Name">
              <a:extLst>
                <a:ext uri="{FF2B5EF4-FFF2-40B4-BE49-F238E27FC236}">
                  <a16:creationId xmlns:a16="http://schemas.microsoft.com/office/drawing/2014/main" id="{C9B060A5-A118-55F6-B5B3-E12EC6ED773C}"/>
                </a:ext>
              </a:extLst>
            </xdr:cNvPr>
            <xdr:cNvGraphicFramePr/>
          </xdr:nvGraphicFramePr>
          <xdr:xfrm>
            <a:off x="0" y="0"/>
            <a:ext cx="0" cy="0"/>
          </xdr:xfrm>
          <a:graphic>
            <a:graphicData uri="http://schemas.microsoft.com/office/drawing/2010/slicer">
              <sle:slicer xmlns:sle="http://schemas.microsoft.com/office/drawing/2010/slicer" name="Driver Name"/>
            </a:graphicData>
          </a:graphic>
        </xdr:graphicFrame>
      </mc:Choice>
      <mc:Fallback xmlns="">
        <xdr:sp macro="" textlink="">
          <xdr:nvSpPr>
            <xdr:cNvPr id="0" name=""/>
            <xdr:cNvSpPr>
              <a:spLocks noTextEdit="1"/>
            </xdr:cNvSpPr>
          </xdr:nvSpPr>
          <xdr:spPr>
            <a:xfrm>
              <a:off x="6600264" y="9211796"/>
              <a:ext cx="1828800" cy="1568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616324</xdr:colOff>
      <xdr:row>48</xdr:row>
      <xdr:rowOff>79002</xdr:rowOff>
    </xdr:from>
    <xdr:to>
      <xdr:col>11</xdr:col>
      <xdr:colOff>1212477</xdr:colOff>
      <xdr:row>51</xdr:row>
      <xdr:rowOff>168089</xdr:rowOff>
    </xdr:to>
    <mc:AlternateContent xmlns:mc="http://schemas.openxmlformats.org/markup-compatibility/2006" xmlns:a14="http://schemas.microsoft.com/office/drawing/2010/main">
      <mc:Choice Requires="a14">
        <xdr:graphicFrame macro="">
          <xdr:nvGraphicFramePr>
            <xdr:cNvPr id="3" name="Load">
              <a:extLst>
                <a:ext uri="{FF2B5EF4-FFF2-40B4-BE49-F238E27FC236}">
                  <a16:creationId xmlns:a16="http://schemas.microsoft.com/office/drawing/2014/main" id="{55E70112-9ACB-A117-6B6E-382404E34685}"/>
                </a:ext>
              </a:extLst>
            </xdr:cNvPr>
            <xdr:cNvGraphicFramePr/>
          </xdr:nvGraphicFramePr>
          <xdr:xfrm>
            <a:off x="0" y="0"/>
            <a:ext cx="0" cy="0"/>
          </xdr:xfrm>
          <a:graphic>
            <a:graphicData uri="http://schemas.microsoft.com/office/drawing/2010/slicer">
              <sle:slicer xmlns:sle="http://schemas.microsoft.com/office/drawing/2010/slicer" name="Load"/>
            </a:graphicData>
          </a:graphic>
        </xdr:graphicFrame>
      </mc:Choice>
      <mc:Fallback xmlns="">
        <xdr:sp macro="" textlink="">
          <xdr:nvSpPr>
            <xdr:cNvPr id="0" name=""/>
            <xdr:cNvSpPr>
              <a:spLocks noTextEdit="1"/>
            </xdr:cNvSpPr>
          </xdr:nvSpPr>
          <xdr:spPr>
            <a:xfrm>
              <a:off x="8606118" y="9223002"/>
              <a:ext cx="1828800" cy="660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1014132</xdr:colOff>
      <xdr:row>45</xdr:row>
      <xdr:rowOff>101972</xdr:rowOff>
    </xdr:from>
    <xdr:to>
      <xdr:col>25</xdr:col>
      <xdr:colOff>689162</xdr:colOff>
      <xdr:row>59</xdr:row>
      <xdr:rowOff>178172</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308EF8A1-7AAF-CCA9-0691-D404AE7F8E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0883282" y="8836397"/>
              <a:ext cx="5866280" cy="2743200"/>
            </a:xfrm>
            <a:prstGeom prst="rect">
              <a:avLst/>
            </a:prstGeom>
            <a:solidFill>
              <a:prstClr val="white"/>
            </a:solidFill>
            <a:ln w="1">
              <a:solidFill>
                <a:prstClr val="green"/>
              </a:solidFill>
            </a:ln>
          </xdr:spPr>
          <xdr:txBody>
            <a:bodyPr vertOverflow="clip" horzOverflow="clip"/>
            <a:lstStyle/>
            <a:p>
              <a:r>
                <a:rPr lang="pl-PL" sz="1100"/>
                <a:t>Ten wykres jest niedostępny w Twojej wersji programu Excel.
Edytowanie tego kształtu lub zapisanie tego skoroszytu w innym formacie pliku spowoduje trwałe uszkodzenie wykresu.</a:t>
              </a:r>
            </a:p>
          </xdr:txBody>
        </xdr:sp>
      </mc:Fallback>
    </mc:AlternateContent>
    <xdr:clientData/>
  </xdr:twoCellAnchor>
  <xdr:twoCellAnchor editAs="oneCell">
    <xdr:from>
      <xdr:col>10</xdr:col>
      <xdr:colOff>542925</xdr:colOff>
      <xdr:row>16</xdr:row>
      <xdr:rowOff>130629</xdr:rowOff>
    </xdr:from>
    <xdr:to>
      <xdr:col>11</xdr:col>
      <xdr:colOff>1147082</xdr:colOff>
      <xdr:row>30</xdr:row>
      <xdr:rowOff>62593</xdr:rowOff>
    </xdr:to>
    <mc:AlternateContent xmlns:mc="http://schemas.openxmlformats.org/markup-compatibility/2006" xmlns:a14="http://schemas.microsoft.com/office/drawing/2010/main">
      <mc:Choice Requires="a14">
        <xdr:graphicFrame macro="">
          <xdr:nvGraphicFramePr>
            <xdr:cNvPr id="7" name="Driver Name 2">
              <a:extLst>
                <a:ext uri="{FF2B5EF4-FFF2-40B4-BE49-F238E27FC236}">
                  <a16:creationId xmlns:a16="http://schemas.microsoft.com/office/drawing/2014/main" id="{5087E045-E189-A240-2751-BC1E66D03061}"/>
                </a:ext>
              </a:extLst>
            </xdr:cNvPr>
            <xdr:cNvGraphicFramePr/>
          </xdr:nvGraphicFramePr>
          <xdr:xfrm>
            <a:off x="0" y="0"/>
            <a:ext cx="0" cy="0"/>
          </xdr:xfrm>
          <a:graphic>
            <a:graphicData uri="http://schemas.microsoft.com/office/drawing/2010/slicer">
              <sle:slicer xmlns:sle="http://schemas.microsoft.com/office/drawing/2010/slicer" name="Driver Name 2"/>
            </a:graphicData>
          </a:graphic>
        </xdr:graphicFrame>
      </mc:Choice>
      <mc:Fallback xmlns="">
        <xdr:sp macro="" textlink="">
          <xdr:nvSpPr>
            <xdr:cNvPr id="0" name=""/>
            <xdr:cNvSpPr>
              <a:spLocks noTextEdit="1"/>
            </xdr:cNvSpPr>
          </xdr:nvSpPr>
          <xdr:spPr>
            <a:xfrm>
              <a:off x="10176782" y="3301093"/>
              <a:ext cx="1828800" cy="2667000"/>
            </a:xfrm>
            <a:prstGeom prst="rect">
              <a:avLst/>
            </a:prstGeom>
            <a:solidFill>
              <a:prstClr val="white"/>
            </a:solidFill>
            <a:ln w="1">
              <a:solidFill>
                <a:prstClr val="green"/>
              </a:solidFill>
            </a:ln>
          </xdr:spPr>
          <xdr:txBody>
            <a:bodyPr vertOverflow="clip" horzOverflow="clip"/>
            <a:lstStyle/>
            <a:p>
              <a:r>
                <a:rPr lang="pl-PL" sz="1100"/>
                <a:t>Ten kształt odzwierciedla fragmentator. Fragmentatory są obsługiwane w programie Excel 2010 i nowszych wersjach.
Jeśli kształt został zmodyfikowany w starszej wersji programu Excel lub jeśli skoroszyt został zapisany w programie Excel 2003 albo starszej wersji, korzystanie z fragmentatora jest niemożliwe.</a:t>
              </a:r>
            </a:p>
          </xdr:txBody>
        </xdr:sp>
      </mc:Fallback>
    </mc:AlternateContent>
    <xdr:clientData/>
  </xdr:twoCellAnchor>
  <xdr:twoCellAnchor editAs="oneCell">
    <xdr:from>
      <xdr:col>12</xdr:col>
      <xdr:colOff>466725</xdr:colOff>
      <xdr:row>74</xdr:row>
      <xdr:rowOff>47625</xdr:rowOff>
    </xdr:from>
    <xdr:to>
      <xdr:col>21</xdr:col>
      <xdr:colOff>657225</xdr:colOff>
      <xdr:row>78</xdr:row>
      <xdr:rowOff>23644</xdr:rowOff>
    </xdr:to>
    <mc:AlternateContent xmlns:mc="http://schemas.openxmlformats.org/markup-compatibility/2006" xmlns:a14="http://schemas.microsoft.com/office/drawing/2010/main">
      <mc:Choice Requires="a14">
        <xdr:graphicFrame macro="">
          <xdr:nvGraphicFramePr>
            <xdr:cNvPr id="8" name="Month 2">
              <a:extLst>
                <a:ext uri="{FF2B5EF4-FFF2-40B4-BE49-F238E27FC236}">
                  <a16:creationId xmlns:a16="http://schemas.microsoft.com/office/drawing/2014/main" id="{33E623E1-5DCF-431F-BC1F-039527BBE8D6}"/>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2887325" y="14325600"/>
              <a:ext cx="10086975" cy="738019"/>
            </a:xfrm>
            <a:prstGeom prst="rect">
              <a:avLst/>
            </a:prstGeom>
            <a:solidFill>
              <a:prstClr val="white"/>
            </a:solidFill>
            <a:ln w="1">
              <a:solidFill>
                <a:prstClr val="green"/>
              </a:solidFill>
            </a:ln>
          </xdr:spPr>
          <xdr:txBody>
            <a:bodyPr vertOverflow="clip" horzOverflow="clip"/>
            <a:lstStyle/>
            <a:p>
              <a:r>
                <a:rPr lang="pl-PL" sz="1100"/>
                <a:t>Ten kształt odzwierciedla fragmentator. Fragmentatory są obsługiwane w programie Excel 2010 i nowszych wersjach.
Jeśli kształt został zmodyfikowany w starszej wersji programu Excel lub jeśli skoroszyt został zapisany w programie Excel 2003 albo starszej wersji, korzystanie z fragmentatora jest niemożliwe.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kub Nicpoń" refreshedDate="45868.470854398147" createdVersion="8" refreshedVersion="8" minRefreshableVersion="3" recordCount="61" xr:uid="{3DC5752A-85E4-443A-8EDE-743491892CB4}">
  <cacheSource type="worksheet">
    <worksheetSource name="Data"/>
  </cacheSource>
  <cacheFields count="31">
    <cacheField name="Month" numFmtId="167">
      <sharedItems containsBlank="1" count="24">
        <s v="January"/>
        <s v="February"/>
        <s v="March"/>
        <s v="April"/>
        <s v="May"/>
        <s v="June"/>
        <s v="July"/>
        <s v="August"/>
        <s v="September"/>
        <s v="October"/>
        <s v="November"/>
        <s v="December"/>
        <s v="Jan" u="1"/>
        <s v="Feb" u="1"/>
        <s v="Mar" u="1"/>
        <s v="Apr" u="1"/>
        <s v="Jun" u="1"/>
        <s v="Jul" u="1"/>
        <s v="Aug" u="1"/>
        <s v="Sep" u="1"/>
        <s v="Oct" u="1"/>
        <s v="Nov" u="1"/>
        <s v="Dec" u="1"/>
        <m u="1"/>
      </sharedItems>
    </cacheField>
    <cacheField name="Day" numFmtId="0">
      <sharedItems containsSemiMixedTypes="0" containsString="0" containsNumber="1" containsInteger="1" minValue="1" maxValue="29"/>
    </cacheField>
    <cacheField name="Load" numFmtId="0">
      <sharedItems count="3">
        <s v="Wood"/>
        <s v="Sand"/>
        <s v="Iron"/>
      </sharedItems>
    </cacheField>
    <cacheField name="Tonnage" numFmtId="2">
      <sharedItems containsSemiMixedTypes="0" containsString="0" containsNumber="1" minValue="11" maxValue="23"/>
    </cacheField>
    <cacheField name="Customer Type" numFmtId="0">
      <sharedItems count="2">
        <s v="Retaining Customer"/>
        <s v="New Customer"/>
      </sharedItems>
    </cacheField>
    <cacheField name="Destination" numFmtId="0">
      <sharedItems count="8">
        <s v="Nunavut"/>
        <s v="British Columbia"/>
        <s v="Manitoba"/>
        <s v="New Brunswick"/>
        <s v="Alberta"/>
        <s v="Yukon"/>
        <s v="Novembera Scotia"/>
        <s v="Nunavut." u="1"/>
      </sharedItems>
    </cacheField>
    <cacheField name="Rate" numFmtId="168">
      <sharedItems containsSemiMixedTypes="0" containsString="0" containsNumber="1" containsInteger="1" minValue="3456" maxValue="8765"/>
    </cacheField>
    <cacheField name="Truck" numFmtId="0">
      <sharedItems count="4">
        <s v="Freightliner Sprinter"/>
        <s v="Chevrolet Express"/>
        <s v="RAM ProMaster"/>
        <s v="Nissan NV2500"/>
      </sharedItems>
    </cacheField>
    <cacheField name="Insurance" numFmtId="0">
      <sharedItems containsSemiMixedTypes="0" containsString="0" containsNumber="1" containsInteger="1" minValue="132" maxValue="132" count="1">
        <n v="132"/>
      </sharedItems>
    </cacheField>
    <cacheField name="Fuel" numFmtId="0">
      <sharedItems containsSemiMixedTypes="0" containsString="0" containsNumber="1" containsInteger="1" minValue="245" maxValue="453" count="6">
        <n v="400"/>
        <n v="333"/>
        <n v="453"/>
        <n v="399"/>
        <n v="387"/>
        <n v="245"/>
      </sharedItems>
    </cacheField>
    <cacheField name="Diesel Exhaust Fluid" numFmtId="0">
      <sharedItems containsSemiMixedTypes="0" containsString="0" containsNumber="1" containsInteger="1" minValue="50" maxValue="74" count="13">
        <n v="50"/>
        <n v="51"/>
        <n v="52"/>
        <n v="53"/>
        <n v="54"/>
        <n v="55"/>
        <n v="56"/>
        <n v="57"/>
        <n v="58"/>
        <n v="59"/>
        <n v="72"/>
        <n v="73"/>
        <n v="74"/>
      </sharedItems>
    </cacheField>
    <cacheField name="Advance" numFmtId="0">
      <sharedItems containsSemiMixedTypes="0" containsString="0" containsNumber="1" containsInteger="1" minValue="250" maxValue="250" count="1">
        <n v="250"/>
      </sharedItems>
    </cacheField>
    <cacheField name="Warehouse" numFmtId="0">
      <sharedItems containsSemiMixedTypes="0" containsString="0" containsNumber="1" containsInteger="1" minValue="120" maxValue="134"/>
    </cacheField>
    <cacheField name="Repairs" numFmtId="0">
      <sharedItems containsString="0" containsBlank="1" containsNumber="1" containsInteger="1" minValue="32" maxValue="65"/>
    </cacheField>
    <cacheField name="Tolls" numFmtId="0">
      <sharedItems containsSemiMixedTypes="0" containsString="0" containsNumber="1" containsInteger="1" minValue="51" maxValue="134"/>
    </cacheField>
    <cacheField name="Fundings" numFmtId="0">
      <sharedItems containsSemiMixedTypes="0" containsString="0" containsNumber="1" containsInteger="1" minValue="6" maxValue="66"/>
    </cacheField>
    <cacheField name="Driver Name" numFmtId="0">
      <sharedItems count="4">
        <s v="Alessandro Smith"/>
        <s v="Beauregard Mike"/>
        <s v="Jean Bartholomew"/>
        <s v="Jaison Augustustine"/>
      </sharedItems>
    </cacheField>
    <cacheField name="Odometer" numFmtId="2">
      <sharedItems containsSemiMixedTypes="0" containsString="0" containsNumber="1" minValue="295.41000000000003" maxValue="333"/>
    </cacheField>
    <cacheField name="Miles" numFmtId="0">
      <sharedItems containsSemiMixedTypes="0" containsString="0" containsNumber="1" containsInteger="1" minValue="234" maxValue="399"/>
    </cacheField>
    <cacheField name="Rate Per Miles" numFmtId="2">
      <sharedItems containsSemiMixedTypes="0" containsString="0" containsNumber="1" minValue="163.79999999999998" maxValue="279.29999999999995"/>
    </cacheField>
    <cacheField name="Extra Stops" numFmtId="0">
      <sharedItems containsSemiMixedTypes="0" containsString="0" containsNumber="1" containsInteger="1" minValue="100" maxValue="100"/>
    </cacheField>
    <cacheField name="Extra Pay" numFmtId="0">
      <sharedItems containsSemiMixedTypes="0" containsString="0" containsNumber="1" containsInteger="1" minValue="22" maxValue="29"/>
    </cacheField>
    <cacheField name="Costs Driver Paid" numFmtId="0">
      <sharedItems containsSemiMixedTypes="0" containsString="0" containsNumber="1" containsInteger="1" minValue="54" maxValue="61"/>
    </cacheField>
    <cacheField name="Total Expenses" numFmtId="2">
      <sharedItems containsSemiMixedTypes="0" containsString="0" containsNumber="1" minValue="1409.1" maxValue="1622.9" count="25">
        <n v="1573.1"/>
        <n v="1530.8"/>
        <n v="1531.8"/>
        <n v="1532.8"/>
        <n v="1533.8"/>
        <n v="1568.1"/>
        <n v="1569.1"/>
        <n v="1570.1"/>
        <n v="1571.1"/>
        <n v="1540.1"/>
        <n v="1549.1"/>
        <n v="1615.1"/>
        <n v="1616.1"/>
        <n v="1579.1"/>
        <n v="1409.1"/>
        <n v="1557.9"/>
        <n v="1622.9"/>
        <n v="1517.3"/>
        <n v="1550.3"/>
        <n v="1447.8"/>
        <n v="1527.1"/>
        <n v="1585.1"/>
        <n v="1520.1"/>
        <n v="1618.3"/>
        <n v="1530.1"/>
      </sharedItems>
    </cacheField>
    <cacheField name="First condition type" numFmtId="2">
      <sharedItems containsSemiMixedTypes="0" containsString="0" containsNumber="1" minValue="449.28000000000003" maxValue="1139.45"/>
    </cacheField>
    <cacheField name="Shipment cost sub-items" numFmtId="2">
      <sharedItems containsSemiMixedTypes="0" containsString="0" containsNumber="1" minValue="691.2" maxValue="1753"/>
    </cacheField>
    <cacheField name="ERE Stage" numFmtId="2">
      <sharedItems containsSemiMixedTypes="0" containsString="0" containsNumber="1" minValue="587.5200000000001" maxValue="1490.0500000000002"/>
    </cacheField>
    <cacheField name="Basic freight" numFmtId="2">
      <sharedItems containsSemiMixedTypes="0" containsString="0" containsNumber="1" minValue="864" maxValue="2191.25"/>
    </cacheField>
    <cacheField name="Final Amount" numFmtId="2">
      <sharedItems containsSemiMixedTypes="0" containsString="0" containsNumber="1" minValue="1036.8" maxValue="2629.5"/>
    </cacheField>
    <cacheField name="Balance" numFmtId="0" formula="Rate-'Total Expenses'" databaseField="0"/>
    <cacheField name="Rate Per Mile" numFmtId="0" formula="Miles/'Rate Per Miles'" databaseField="0"/>
  </cacheFields>
  <extLst>
    <ext xmlns:x14="http://schemas.microsoft.com/office/spreadsheetml/2009/9/main" uri="{725AE2AE-9491-48be-B2B4-4EB974FC3084}">
      <x14:pivotCacheDefinition pivotCacheId="636749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x v="0"/>
    <n v="1"/>
    <x v="0"/>
    <n v="11"/>
    <x v="0"/>
    <x v="0"/>
    <n v="5556"/>
    <x v="0"/>
    <x v="0"/>
    <x v="0"/>
    <x v="0"/>
    <x v="0"/>
    <n v="120"/>
    <n v="65"/>
    <n v="134"/>
    <n v="6"/>
    <x v="0"/>
    <n v="295.41000000000003"/>
    <n v="343"/>
    <n v="240.1"/>
    <n v="100"/>
    <n v="22"/>
    <n v="54"/>
    <x v="0"/>
    <n v="722.28"/>
    <n v="1111.2"/>
    <n v="944.5200000000001"/>
    <n v="1389"/>
    <n v="1666.8"/>
  </r>
  <r>
    <x v="0"/>
    <n v="3"/>
    <x v="0"/>
    <n v="21.3"/>
    <x v="0"/>
    <x v="1"/>
    <n v="5556"/>
    <x v="0"/>
    <x v="0"/>
    <x v="0"/>
    <x v="0"/>
    <x v="0"/>
    <n v="120"/>
    <n v="65"/>
    <n v="134"/>
    <n v="6"/>
    <x v="1"/>
    <n v="295.41000000000003"/>
    <n v="343"/>
    <n v="240.1"/>
    <n v="100"/>
    <n v="22"/>
    <n v="54"/>
    <x v="0"/>
    <n v="722.28"/>
    <n v="1111.2"/>
    <n v="944.5200000000001"/>
    <n v="1389"/>
    <n v="1666.8"/>
  </r>
  <r>
    <x v="0"/>
    <n v="13"/>
    <x v="0"/>
    <n v="22"/>
    <x v="0"/>
    <x v="2"/>
    <n v="5556"/>
    <x v="0"/>
    <x v="0"/>
    <x v="0"/>
    <x v="0"/>
    <x v="0"/>
    <n v="120"/>
    <n v="65"/>
    <n v="134"/>
    <n v="6"/>
    <x v="2"/>
    <n v="295.41000000000003"/>
    <n v="343"/>
    <n v="240.1"/>
    <n v="100"/>
    <n v="22"/>
    <n v="54"/>
    <x v="0"/>
    <n v="722.28"/>
    <n v="1111.2"/>
    <n v="944.5200000000001"/>
    <n v="1389"/>
    <n v="1666.8"/>
  </r>
  <r>
    <x v="1"/>
    <n v="4"/>
    <x v="1"/>
    <n v="14.5"/>
    <x v="0"/>
    <x v="1"/>
    <n v="4567"/>
    <x v="0"/>
    <x v="0"/>
    <x v="1"/>
    <x v="1"/>
    <x v="0"/>
    <n v="134"/>
    <n v="65"/>
    <n v="134"/>
    <n v="6"/>
    <x v="0"/>
    <n v="295.41000000000003"/>
    <n v="354"/>
    <n v="247.79999999999998"/>
    <n v="100"/>
    <n v="23"/>
    <n v="55"/>
    <x v="1"/>
    <n v="593.71"/>
    <n v="913.40000000000009"/>
    <n v="776.3900000000001"/>
    <n v="1141.75"/>
    <n v="1370.1"/>
  </r>
  <r>
    <x v="1"/>
    <n v="5"/>
    <x v="1"/>
    <n v="18"/>
    <x v="0"/>
    <x v="2"/>
    <n v="4567"/>
    <x v="0"/>
    <x v="0"/>
    <x v="1"/>
    <x v="2"/>
    <x v="0"/>
    <n v="134"/>
    <n v="65"/>
    <n v="134"/>
    <n v="6"/>
    <x v="1"/>
    <n v="295.41000000000003"/>
    <n v="354"/>
    <n v="247.79999999999998"/>
    <n v="100"/>
    <n v="23"/>
    <n v="55"/>
    <x v="2"/>
    <n v="593.71"/>
    <n v="913.40000000000009"/>
    <n v="776.3900000000001"/>
    <n v="1141.75"/>
    <n v="1370.1"/>
  </r>
  <r>
    <x v="1"/>
    <n v="6"/>
    <x v="1"/>
    <n v="19"/>
    <x v="0"/>
    <x v="3"/>
    <n v="4567"/>
    <x v="0"/>
    <x v="0"/>
    <x v="1"/>
    <x v="3"/>
    <x v="0"/>
    <n v="134"/>
    <n v="65"/>
    <n v="134"/>
    <n v="6"/>
    <x v="2"/>
    <n v="295.41000000000003"/>
    <n v="354"/>
    <n v="247.79999999999998"/>
    <n v="100"/>
    <n v="23"/>
    <n v="55"/>
    <x v="3"/>
    <n v="593.71"/>
    <n v="913.40000000000009"/>
    <n v="776.3900000000001"/>
    <n v="1141.75"/>
    <n v="1370.1"/>
  </r>
  <r>
    <x v="1"/>
    <n v="14"/>
    <x v="1"/>
    <n v="20"/>
    <x v="0"/>
    <x v="0"/>
    <n v="4567"/>
    <x v="0"/>
    <x v="0"/>
    <x v="1"/>
    <x v="4"/>
    <x v="0"/>
    <n v="134"/>
    <n v="65"/>
    <n v="134"/>
    <n v="6"/>
    <x v="3"/>
    <n v="295.41000000000003"/>
    <n v="354"/>
    <n v="247.79999999999998"/>
    <n v="100"/>
    <n v="23"/>
    <n v="55"/>
    <x v="4"/>
    <n v="593.71"/>
    <n v="913.40000000000009"/>
    <n v="776.3900000000001"/>
    <n v="1141.75"/>
    <n v="1370.1"/>
  </r>
  <r>
    <x v="2"/>
    <n v="2"/>
    <x v="2"/>
    <n v="21"/>
    <x v="0"/>
    <x v="2"/>
    <n v="3458"/>
    <x v="0"/>
    <x v="0"/>
    <x v="2"/>
    <x v="5"/>
    <x v="0"/>
    <n v="121"/>
    <n v="32"/>
    <n v="56"/>
    <n v="56"/>
    <x v="0"/>
    <n v="295.41000000000003"/>
    <n v="333"/>
    <n v="233.1"/>
    <n v="100"/>
    <n v="24"/>
    <n v="56"/>
    <x v="5"/>
    <n v="449.54"/>
    <n v="691.6"/>
    <n v="587.86"/>
    <n v="864.5"/>
    <n v="1037.3999999999999"/>
  </r>
  <r>
    <x v="2"/>
    <n v="3"/>
    <x v="2"/>
    <n v="22"/>
    <x v="1"/>
    <x v="1"/>
    <n v="3458"/>
    <x v="0"/>
    <x v="0"/>
    <x v="2"/>
    <x v="6"/>
    <x v="0"/>
    <n v="121"/>
    <n v="32"/>
    <n v="56"/>
    <n v="56"/>
    <x v="1"/>
    <n v="295.41000000000003"/>
    <n v="333"/>
    <n v="233.1"/>
    <n v="100"/>
    <n v="24"/>
    <n v="56"/>
    <x v="6"/>
    <n v="449.54"/>
    <n v="691.6"/>
    <n v="587.86"/>
    <n v="864.5"/>
    <n v="1037.3999999999999"/>
  </r>
  <r>
    <x v="2"/>
    <n v="7"/>
    <x v="1"/>
    <n v="22.7"/>
    <x v="1"/>
    <x v="2"/>
    <n v="3458"/>
    <x v="0"/>
    <x v="0"/>
    <x v="2"/>
    <x v="7"/>
    <x v="0"/>
    <n v="121"/>
    <n v="32"/>
    <n v="56"/>
    <n v="56"/>
    <x v="3"/>
    <n v="295.41000000000003"/>
    <n v="333"/>
    <n v="233.1"/>
    <n v="100"/>
    <n v="24"/>
    <n v="56"/>
    <x v="7"/>
    <n v="449.54"/>
    <n v="691.6"/>
    <n v="587.86"/>
    <n v="864.5"/>
    <n v="1037.3999999999999"/>
  </r>
  <r>
    <x v="2"/>
    <n v="8"/>
    <x v="2"/>
    <n v="12"/>
    <x v="0"/>
    <x v="3"/>
    <n v="3458"/>
    <x v="0"/>
    <x v="0"/>
    <x v="2"/>
    <x v="8"/>
    <x v="0"/>
    <n v="121"/>
    <n v="32"/>
    <n v="56"/>
    <n v="56"/>
    <x v="3"/>
    <n v="295.41000000000003"/>
    <n v="333"/>
    <n v="233.1"/>
    <n v="100"/>
    <n v="24"/>
    <n v="56"/>
    <x v="8"/>
    <n v="449.54"/>
    <n v="691.6"/>
    <n v="587.86"/>
    <n v="864.5"/>
    <n v="1037.3999999999999"/>
  </r>
  <r>
    <x v="2"/>
    <n v="9"/>
    <x v="0"/>
    <n v="13"/>
    <x v="1"/>
    <x v="4"/>
    <n v="3458"/>
    <x v="0"/>
    <x v="0"/>
    <x v="2"/>
    <x v="9"/>
    <x v="0"/>
    <n v="121"/>
    <m/>
    <n v="56"/>
    <n v="56"/>
    <x v="0"/>
    <n v="295.41000000000003"/>
    <n v="333"/>
    <n v="233.1"/>
    <n v="100"/>
    <n v="24"/>
    <n v="56"/>
    <x v="9"/>
    <n v="449.54"/>
    <n v="691.6"/>
    <n v="587.86"/>
    <n v="864.5"/>
    <n v="1037.3999999999999"/>
  </r>
  <r>
    <x v="3"/>
    <n v="12"/>
    <x v="0"/>
    <n v="16"/>
    <x v="0"/>
    <x v="5"/>
    <n v="6433"/>
    <x v="1"/>
    <x v="0"/>
    <x v="3"/>
    <x v="10"/>
    <x v="0"/>
    <n v="134"/>
    <m/>
    <n v="134"/>
    <n v="6"/>
    <x v="1"/>
    <n v="295.41000000000003"/>
    <n v="343"/>
    <n v="240.1"/>
    <n v="100"/>
    <n v="25"/>
    <n v="57"/>
    <x v="10"/>
    <n v="836.29000000000008"/>
    <n v="1286.6000000000001"/>
    <n v="1093.6100000000001"/>
    <n v="1608.25"/>
    <n v="1929.8999999999999"/>
  </r>
  <r>
    <x v="3"/>
    <n v="16"/>
    <x v="1"/>
    <n v="17"/>
    <x v="1"/>
    <x v="6"/>
    <n v="6433"/>
    <x v="1"/>
    <x v="0"/>
    <x v="3"/>
    <x v="11"/>
    <x v="0"/>
    <n v="134"/>
    <n v="65"/>
    <n v="134"/>
    <n v="6"/>
    <x v="2"/>
    <n v="295.41000000000003"/>
    <n v="343"/>
    <n v="240.1"/>
    <n v="100"/>
    <n v="25"/>
    <n v="57"/>
    <x v="11"/>
    <n v="836.29000000000008"/>
    <n v="1286.6000000000001"/>
    <n v="1093.6100000000001"/>
    <n v="1608.25"/>
    <n v="1929.8999999999999"/>
  </r>
  <r>
    <x v="3"/>
    <n v="22"/>
    <x v="0"/>
    <n v="18"/>
    <x v="1"/>
    <x v="2"/>
    <n v="6433"/>
    <x v="1"/>
    <x v="0"/>
    <x v="3"/>
    <x v="12"/>
    <x v="0"/>
    <n v="134"/>
    <n v="65"/>
    <n v="134"/>
    <n v="6"/>
    <x v="3"/>
    <n v="295.41000000000003"/>
    <n v="343"/>
    <n v="240.1"/>
    <n v="100"/>
    <n v="25"/>
    <n v="57"/>
    <x v="12"/>
    <n v="836.29000000000008"/>
    <n v="1286.6000000000001"/>
    <n v="1093.6100000000001"/>
    <n v="1608.25"/>
    <n v="1929.8999999999999"/>
  </r>
  <r>
    <x v="4"/>
    <n v="5"/>
    <x v="1"/>
    <n v="11"/>
    <x v="0"/>
    <x v="0"/>
    <n v="8765"/>
    <x v="1"/>
    <x v="0"/>
    <x v="4"/>
    <x v="0"/>
    <x v="0"/>
    <n v="128"/>
    <n v="34"/>
    <n v="128"/>
    <n v="46"/>
    <x v="0"/>
    <n v="333"/>
    <n v="343"/>
    <n v="240.1"/>
    <n v="100"/>
    <n v="26"/>
    <n v="58"/>
    <x v="13"/>
    <n v="1139.45"/>
    <n v="1753"/>
    <n v="1490.0500000000002"/>
    <n v="2191.25"/>
    <n v="2629.5"/>
  </r>
  <r>
    <x v="4"/>
    <n v="13"/>
    <x v="1"/>
    <n v="21"/>
    <x v="0"/>
    <x v="6"/>
    <n v="8765"/>
    <x v="1"/>
    <x v="0"/>
    <x v="4"/>
    <x v="0"/>
    <x v="0"/>
    <n v="128"/>
    <n v="34"/>
    <n v="128"/>
    <n v="46"/>
    <x v="1"/>
    <n v="333"/>
    <n v="343"/>
    <n v="240.1"/>
    <n v="100"/>
    <n v="26"/>
    <n v="58"/>
    <x v="13"/>
    <n v="1139.45"/>
    <n v="1753"/>
    <n v="1490.0500000000002"/>
    <n v="2191.25"/>
    <n v="2629.5"/>
  </r>
  <r>
    <x v="4"/>
    <n v="14"/>
    <x v="1"/>
    <n v="22"/>
    <x v="0"/>
    <x v="3"/>
    <n v="8765"/>
    <x v="1"/>
    <x v="0"/>
    <x v="4"/>
    <x v="0"/>
    <x v="0"/>
    <n v="128"/>
    <n v="34"/>
    <n v="128"/>
    <n v="46"/>
    <x v="2"/>
    <n v="333"/>
    <n v="343"/>
    <n v="240.1"/>
    <n v="100"/>
    <n v="26"/>
    <n v="58"/>
    <x v="13"/>
    <n v="1139.45"/>
    <n v="1753"/>
    <n v="1490.0500000000002"/>
    <n v="2191.25"/>
    <n v="2629.5"/>
  </r>
  <r>
    <x v="4"/>
    <n v="15"/>
    <x v="2"/>
    <n v="23"/>
    <x v="1"/>
    <x v="0"/>
    <n v="8765"/>
    <x v="1"/>
    <x v="0"/>
    <x v="4"/>
    <x v="0"/>
    <x v="0"/>
    <n v="128"/>
    <n v="34"/>
    <n v="128"/>
    <n v="46"/>
    <x v="3"/>
    <n v="333"/>
    <n v="343"/>
    <n v="240.1"/>
    <n v="100"/>
    <n v="26"/>
    <n v="58"/>
    <x v="13"/>
    <n v="1139.45"/>
    <n v="1753"/>
    <n v="1490.0500000000002"/>
    <n v="2191.25"/>
    <n v="2629.5"/>
  </r>
  <r>
    <x v="5"/>
    <n v="17"/>
    <x v="2"/>
    <n v="12.9"/>
    <x v="0"/>
    <x v="2"/>
    <n v="5432"/>
    <x v="1"/>
    <x v="0"/>
    <x v="5"/>
    <x v="0"/>
    <x v="0"/>
    <n v="120"/>
    <m/>
    <n v="120"/>
    <n v="66"/>
    <x v="0"/>
    <n v="295.41000000000003"/>
    <n v="343"/>
    <n v="240.1"/>
    <n v="100"/>
    <n v="27"/>
    <n v="59"/>
    <x v="14"/>
    <n v="706.16"/>
    <n v="1086.4000000000001"/>
    <n v="923.44"/>
    <n v="1358"/>
    <n v="1629.6"/>
  </r>
  <r>
    <x v="5"/>
    <n v="18"/>
    <x v="2"/>
    <n v="12.9"/>
    <x v="0"/>
    <x v="3"/>
    <n v="5432"/>
    <x v="1"/>
    <x v="0"/>
    <x v="5"/>
    <x v="0"/>
    <x v="0"/>
    <n v="120"/>
    <m/>
    <n v="120"/>
    <n v="66"/>
    <x v="1"/>
    <n v="295.41000000000003"/>
    <n v="343"/>
    <n v="240.1"/>
    <n v="100"/>
    <n v="27"/>
    <n v="59"/>
    <x v="14"/>
    <n v="706.16"/>
    <n v="1086.4000000000001"/>
    <n v="923.44"/>
    <n v="1358"/>
    <n v="1629.6"/>
  </r>
  <r>
    <x v="5"/>
    <n v="18"/>
    <x v="2"/>
    <n v="21"/>
    <x v="0"/>
    <x v="6"/>
    <n v="5432"/>
    <x v="1"/>
    <x v="0"/>
    <x v="5"/>
    <x v="0"/>
    <x v="0"/>
    <n v="120"/>
    <m/>
    <n v="120"/>
    <n v="66"/>
    <x v="2"/>
    <n v="295.41000000000003"/>
    <n v="343"/>
    <n v="240.1"/>
    <n v="100"/>
    <n v="27"/>
    <n v="59"/>
    <x v="14"/>
    <n v="706.16"/>
    <n v="1086.4000000000001"/>
    <n v="923.44"/>
    <n v="1358"/>
    <n v="1629.6"/>
  </r>
  <r>
    <x v="5"/>
    <n v="24"/>
    <x v="2"/>
    <n v="22"/>
    <x v="1"/>
    <x v="6"/>
    <n v="5432"/>
    <x v="1"/>
    <x v="0"/>
    <x v="5"/>
    <x v="0"/>
    <x v="0"/>
    <n v="120"/>
    <m/>
    <n v="120"/>
    <n v="66"/>
    <x v="3"/>
    <n v="295.41000000000003"/>
    <n v="343"/>
    <n v="240.1"/>
    <n v="100"/>
    <n v="27"/>
    <n v="59"/>
    <x v="14"/>
    <n v="706.16"/>
    <n v="1086.4000000000001"/>
    <n v="923.44"/>
    <n v="1358"/>
    <n v="1629.6"/>
  </r>
  <r>
    <x v="6"/>
    <n v="7"/>
    <x v="0"/>
    <n v="23"/>
    <x v="1"/>
    <x v="1"/>
    <n v="6778"/>
    <x v="2"/>
    <x v="0"/>
    <x v="0"/>
    <x v="0"/>
    <x v="0"/>
    <n v="134"/>
    <m/>
    <n v="134"/>
    <n v="6"/>
    <x v="0"/>
    <n v="295.41000000000003"/>
    <n v="377"/>
    <n v="263.89999999999998"/>
    <n v="100"/>
    <n v="28"/>
    <n v="60"/>
    <x v="15"/>
    <n v="881.14"/>
    <n v="1355.6000000000001"/>
    <n v="1152.26"/>
    <n v="1694.5"/>
    <n v="2033.3999999999999"/>
  </r>
  <r>
    <x v="6"/>
    <n v="19"/>
    <x v="0"/>
    <n v="12"/>
    <x v="1"/>
    <x v="2"/>
    <n v="6778"/>
    <x v="2"/>
    <x v="0"/>
    <x v="0"/>
    <x v="0"/>
    <x v="0"/>
    <n v="134"/>
    <n v="65"/>
    <n v="134"/>
    <n v="6"/>
    <x v="1"/>
    <n v="295.41000000000003"/>
    <n v="377"/>
    <n v="263.89999999999998"/>
    <n v="100"/>
    <n v="28"/>
    <n v="60"/>
    <x v="16"/>
    <n v="881.14"/>
    <n v="1355.6000000000001"/>
    <n v="1152.26"/>
    <n v="1694.5"/>
    <n v="2033.3999999999999"/>
  </r>
  <r>
    <x v="6"/>
    <n v="19"/>
    <x v="0"/>
    <n v="13"/>
    <x v="0"/>
    <x v="3"/>
    <n v="6778"/>
    <x v="2"/>
    <x v="0"/>
    <x v="0"/>
    <x v="0"/>
    <x v="0"/>
    <n v="134"/>
    <n v="65"/>
    <n v="134"/>
    <n v="6"/>
    <x v="2"/>
    <n v="295.41000000000003"/>
    <n v="377"/>
    <n v="263.89999999999998"/>
    <n v="100"/>
    <n v="28"/>
    <n v="60"/>
    <x v="16"/>
    <n v="881.14"/>
    <n v="1355.6000000000001"/>
    <n v="1152.26"/>
    <n v="1694.5"/>
    <n v="2033.3999999999999"/>
  </r>
  <r>
    <x v="6"/>
    <n v="20"/>
    <x v="0"/>
    <n v="14"/>
    <x v="0"/>
    <x v="0"/>
    <n v="6778"/>
    <x v="2"/>
    <x v="0"/>
    <x v="0"/>
    <x v="0"/>
    <x v="0"/>
    <n v="134"/>
    <n v="65"/>
    <n v="134"/>
    <n v="6"/>
    <x v="3"/>
    <n v="295.41000000000003"/>
    <n v="377"/>
    <n v="263.89999999999998"/>
    <n v="100"/>
    <n v="28"/>
    <n v="60"/>
    <x v="16"/>
    <n v="881.14"/>
    <n v="1355.6000000000001"/>
    <n v="1152.26"/>
    <n v="1694.5"/>
    <n v="2033.3999999999999"/>
  </r>
  <r>
    <x v="6"/>
    <n v="21"/>
    <x v="0"/>
    <n v="15"/>
    <x v="0"/>
    <x v="4"/>
    <n v="6778"/>
    <x v="2"/>
    <x v="0"/>
    <x v="0"/>
    <x v="0"/>
    <x v="0"/>
    <n v="134"/>
    <n v="65"/>
    <n v="134"/>
    <n v="6"/>
    <x v="0"/>
    <n v="295.41000000000003"/>
    <n v="377"/>
    <n v="263.89999999999998"/>
    <n v="100"/>
    <n v="28"/>
    <n v="60"/>
    <x v="16"/>
    <n v="881.14"/>
    <n v="1355.6000000000001"/>
    <n v="1152.26"/>
    <n v="1694.5"/>
    <n v="2033.3999999999999"/>
  </r>
  <r>
    <x v="6"/>
    <n v="25"/>
    <x v="0"/>
    <n v="16"/>
    <x v="0"/>
    <x v="0"/>
    <n v="6778"/>
    <x v="2"/>
    <x v="0"/>
    <x v="0"/>
    <x v="0"/>
    <x v="0"/>
    <n v="134"/>
    <n v="65"/>
    <n v="134"/>
    <n v="6"/>
    <x v="1"/>
    <n v="295.41000000000003"/>
    <n v="377"/>
    <n v="263.89999999999998"/>
    <n v="100"/>
    <n v="28"/>
    <n v="60"/>
    <x v="16"/>
    <n v="881.14"/>
    <n v="1355.6000000000001"/>
    <n v="1152.26"/>
    <n v="1694.5"/>
    <n v="2033.3999999999999"/>
  </r>
  <r>
    <x v="6"/>
    <n v="7"/>
    <x v="0"/>
    <n v="23"/>
    <x v="1"/>
    <x v="1"/>
    <n v="6778"/>
    <x v="2"/>
    <x v="0"/>
    <x v="0"/>
    <x v="0"/>
    <x v="0"/>
    <n v="134"/>
    <m/>
    <n v="134"/>
    <n v="6"/>
    <x v="2"/>
    <n v="295.41000000000003"/>
    <n v="377"/>
    <n v="263.89999999999998"/>
    <n v="100"/>
    <n v="28"/>
    <n v="60"/>
    <x v="15"/>
    <n v="881.14"/>
    <n v="1355.6000000000001"/>
    <n v="1152.26"/>
    <n v="1694.5"/>
    <n v="2033.3999999999999"/>
  </r>
  <r>
    <x v="6"/>
    <n v="19"/>
    <x v="0"/>
    <n v="12"/>
    <x v="1"/>
    <x v="2"/>
    <n v="6778"/>
    <x v="2"/>
    <x v="0"/>
    <x v="0"/>
    <x v="0"/>
    <x v="0"/>
    <n v="134"/>
    <n v="65"/>
    <n v="134"/>
    <n v="6"/>
    <x v="3"/>
    <n v="295.41000000000003"/>
    <n v="377"/>
    <n v="263.89999999999998"/>
    <n v="100"/>
    <n v="28"/>
    <n v="60"/>
    <x v="16"/>
    <n v="881.14"/>
    <n v="1355.6000000000001"/>
    <n v="1152.26"/>
    <n v="1694.5"/>
    <n v="2033.3999999999999"/>
  </r>
  <r>
    <x v="6"/>
    <n v="19"/>
    <x v="0"/>
    <n v="13"/>
    <x v="0"/>
    <x v="3"/>
    <n v="6778"/>
    <x v="2"/>
    <x v="0"/>
    <x v="0"/>
    <x v="0"/>
    <x v="0"/>
    <n v="134"/>
    <n v="65"/>
    <n v="134"/>
    <n v="6"/>
    <x v="0"/>
    <n v="295.41000000000003"/>
    <n v="377"/>
    <n v="263.89999999999998"/>
    <n v="100"/>
    <n v="28"/>
    <n v="60"/>
    <x v="16"/>
    <n v="881.14"/>
    <n v="1355.6000000000001"/>
    <n v="1152.26"/>
    <n v="1694.5"/>
    <n v="2033.3999999999999"/>
  </r>
  <r>
    <x v="6"/>
    <n v="20"/>
    <x v="0"/>
    <n v="14"/>
    <x v="0"/>
    <x v="0"/>
    <n v="6778"/>
    <x v="2"/>
    <x v="0"/>
    <x v="0"/>
    <x v="0"/>
    <x v="0"/>
    <n v="134"/>
    <n v="65"/>
    <n v="134"/>
    <n v="6"/>
    <x v="1"/>
    <n v="295.41000000000003"/>
    <n v="377"/>
    <n v="263.89999999999998"/>
    <n v="100"/>
    <n v="28"/>
    <n v="60"/>
    <x v="16"/>
    <n v="881.14"/>
    <n v="1355.6000000000001"/>
    <n v="1152.26"/>
    <n v="1694.5"/>
    <n v="2033.3999999999999"/>
  </r>
  <r>
    <x v="6"/>
    <n v="21"/>
    <x v="0"/>
    <n v="15"/>
    <x v="0"/>
    <x v="4"/>
    <n v="6778"/>
    <x v="2"/>
    <x v="0"/>
    <x v="0"/>
    <x v="0"/>
    <x v="0"/>
    <n v="134"/>
    <n v="65"/>
    <n v="134"/>
    <n v="6"/>
    <x v="2"/>
    <n v="295.41000000000003"/>
    <n v="377"/>
    <n v="263.89999999999998"/>
    <n v="100"/>
    <n v="28"/>
    <n v="60"/>
    <x v="16"/>
    <n v="881.14"/>
    <n v="1355.6000000000001"/>
    <n v="1152.26"/>
    <n v="1694.5"/>
    <n v="2033.3999999999999"/>
  </r>
  <r>
    <x v="6"/>
    <n v="25"/>
    <x v="0"/>
    <n v="16"/>
    <x v="0"/>
    <x v="0"/>
    <n v="6778"/>
    <x v="2"/>
    <x v="0"/>
    <x v="0"/>
    <x v="0"/>
    <x v="0"/>
    <n v="134"/>
    <n v="65"/>
    <n v="134"/>
    <n v="6"/>
    <x v="3"/>
    <n v="295.41000000000003"/>
    <n v="377"/>
    <n v="263.89999999999998"/>
    <n v="100"/>
    <n v="28"/>
    <n v="60"/>
    <x v="16"/>
    <n v="881.14"/>
    <n v="1355.6000000000001"/>
    <n v="1152.26"/>
    <n v="1694.5"/>
    <n v="2033.3999999999999"/>
  </r>
  <r>
    <x v="7"/>
    <n v="8"/>
    <x v="1"/>
    <n v="17"/>
    <x v="0"/>
    <x v="6"/>
    <n v="6543"/>
    <x v="2"/>
    <x v="0"/>
    <x v="0"/>
    <x v="0"/>
    <x v="0"/>
    <n v="121"/>
    <m/>
    <n v="51"/>
    <n v="51"/>
    <x v="0"/>
    <n v="295.41000000000003"/>
    <n v="389"/>
    <n v="272.29999999999995"/>
    <n v="100"/>
    <n v="29"/>
    <n v="61"/>
    <x v="17"/>
    <n v="850.59"/>
    <n v="1308.6000000000001"/>
    <n v="1112.3100000000002"/>
    <n v="1635.75"/>
    <n v="1962.8999999999999"/>
  </r>
  <r>
    <x v="7"/>
    <n v="20"/>
    <x v="1"/>
    <n v="18"/>
    <x v="0"/>
    <x v="4"/>
    <n v="6543"/>
    <x v="2"/>
    <x v="0"/>
    <x v="0"/>
    <x v="0"/>
    <x v="0"/>
    <n v="121"/>
    <m/>
    <n v="51"/>
    <n v="51"/>
    <x v="1"/>
    <n v="295.41000000000003"/>
    <n v="389"/>
    <n v="272.29999999999995"/>
    <n v="100"/>
    <n v="29"/>
    <n v="61"/>
    <x v="17"/>
    <n v="850.59"/>
    <n v="1308.6000000000001"/>
    <n v="1112.3100000000002"/>
    <n v="1635.75"/>
    <n v="1962.8999999999999"/>
  </r>
  <r>
    <x v="7"/>
    <n v="22"/>
    <x v="1"/>
    <n v="12.9"/>
    <x v="0"/>
    <x v="1"/>
    <n v="6543"/>
    <x v="2"/>
    <x v="0"/>
    <x v="0"/>
    <x v="0"/>
    <x v="0"/>
    <n v="121"/>
    <n v="33"/>
    <n v="51"/>
    <n v="51"/>
    <x v="2"/>
    <n v="295.41000000000003"/>
    <n v="389"/>
    <n v="272.29999999999995"/>
    <n v="100"/>
    <n v="29"/>
    <n v="61"/>
    <x v="18"/>
    <n v="850.59"/>
    <n v="1308.6000000000001"/>
    <n v="1112.3100000000002"/>
    <n v="1635.75"/>
    <n v="1962.8999999999999"/>
  </r>
  <r>
    <x v="7"/>
    <n v="23"/>
    <x v="1"/>
    <n v="12.9"/>
    <x v="0"/>
    <x v="2"/>
    <n v="6543"/>
    <x v="2"/>
    <x v="0"/>
    <x v="0"/>
    <x v="0"/>
    <x v="0"/>
    <n v="121"/>
    <n v="33"/>
    <n v="51"/>
    <n v="51"/>
    <x v="3"/>
    <n v="295.41000000000003"/>
    <n v="389"/>
    <n v="272.29999999999995"/>
    <n v="100"/>
    <n v="29"/>
    <n v="61"/>
    <x v="18"/>
    <n v="850.59"/>
    <n v="1308.6000000000001"/>
    <n v="1112.3100000000002"/>
    <n v="1635.75"/>
    <n v="1962.8999999999999"/>
  </r>
  <r>
    <x v="8"/>
    <n v="25"/>
    <x v="0"/>
    <n v="12.9"/>
    <x v="0"/>
    <x v="2"/>
    <n v="8633"/>
    <x v="2"/>
    <x v="0"/>
    <x v="0"/>
    <x v="0"/>
    <x v="0"/>
    <n v="134"/>
    <m/>
    <n v="134"/>
    <n v="6"/>
    <x v="2"/>
    <n v="295.41000000000003"/>
    <n v="234"/>
    <n v="163.79999999999998"/>
    <n v="100"/>
    <n v="23"/>
    <n v="55"/>
    <x v="19"/>
    <n v="1122.29"/>
    <n v="1726.6000000000001"/>
    <n v="1467.6100000000001"/>
    <n v="2158.25"/>
    <n v="2589.9"/>
  </r>
  <r>
    <x v="8"/>
    <n v="26"/>
    <x v="0"/>
    <n v="18"/>
    <x v="0"/>
    <x v="3"/>
    <n v="8633"/>
    <x v="2"/>
    <x v="0"/>
    <x v="0"/>
    <x v="0"/>
    <x v="0"/>
    <n v="134"/>
    <m/>
    <n v="134"/>
    <n v="6"/>
    <x v="2"/>
    <n v="295.41000000000003"/>
    <n v="234"/>
    <n v="163.79999999999998"/>
    <n v="100"/>
    <n v="23"/>
    <n v="55"/>
    <x v="19"/>
    <n v="1122.29"/>
    <n v="1726.6000000000001"/>
    <n v="1467.6100000000001"/>
    <n v="2158.25"/>
    <n v="2589.9"/>
  </r>
  <r>
    <x v="8"/>
    <n v="27"/>
    <x v="0"/>
    <n v="19"/>
    <x v="0"/>
    <x v="0"/>
    <n v="8633"/>
    <x v="2"/>
    <x v="0"/>
    <x v="0"/>
    <x v="0"/>
    <x v="0"/>
    <n v="134"/>
    <m/>
    <n v="134"/>
    <n v="6"/>
    <x v="2"/>
    <n v="295.41000000000003"/>
    <n v="234"/>
    <n v="163.79999999999998"/>
    <n v="100"/>
    <n v="23"/>
    <n v="55"/>
    <x v="19"/>
    <n v="1122.29"/>
    <n v="1726.6000000000001"/>
    <n v="1467.6100000000001"/>
    <n v="2158.25"/>
    <n v="2589.9"/>
  </r>
  <r>
    <x v="8"/>
    <n v="27"/>
    <x v="0"/>
    <n v="20"/>
    <x v="0"/>
    <x v="0"/>
    <n v="8633"/>
    <x v="2"/>
    <x v="0"/>
    <x v="0"/>
    <x v="0"/>
    <x v="0"/>
    <n v="134"/>
    <m/>
    <n v="134"/>
    <n v="6"/>
    <x v="2"/>
    <n v="295.41000000000003"/>
    <n v="234"/>
    <n v="163.79999999999998"/>
    <n v="100"/>
    <n v="23"/>
    <n v="55"/>
    <x v="19"/>
    <n v="1122.29"/>
    <n v="1726.6000000000001"/>
    <n v="1467.6100000000001"/>
    <n v="2158.25"/>
    <n v="2589.9"/>
  </r>
  <r>
    <x v="9"/>
    <n v="1"/>
    <x v="0"/>
    <n v="21"/>
    <x v="0"/>
    <x v="0"/>
    <n v="5556"/>
    <x v="0"/>
    <x v="0"/>
    <x v="0"/>
    <x v="0"/>
    <x v="0"/>
    <n v="120"/>
    <n v="65"/>
    <n v="134"/>
    <n v="6"/>
    <x v="0"/>
    <n v="295.41000000000003"/>
    <n v="343"/>
    <n v="240.1"/>
    <n v="100"/>
    <n v="22"/>
    <n v="54"/>
    <x v="0"/>
    <n v="722.28"/>
    <n v="1111.2"/>
    <n v="944.5200000000001"/>
    <n v="1389"/>
    <n v="1666.8"/>
  </r>
  <r>
    <x v="9"/>
    <n v="2"/>
    <x v="0"/>
    <n v="22"/>
    <x v="0"/>
    <x v="0"/>
    <n v="5556"/>
    <x v="0"/>
    <x v="0"/>
    <x v="0"/>
    <x v="0"/>
    <x v="0"/>
    <n v="120"/>
    <n v="65"/>
    <n v="134"/>
    <n v="6"/>
    <x v="0"/>
    <n v="295.41000000000003"/>
    <n v="343"/>
    <n v="240.1"/>
    <n v="100"/>
    <n v="22"/>
    <n v="54"/>
    <x v="0"/>
    <n v="722.28"/>
    <n v="1111.2"/>
    <n v="944.5200000000001"/>
    <n v="1389"/>
    <n v="1666.8"/>
  </r>
  <r>
    <x v="9"/>
    <n v="10"/>
    <x v="0"/>
    <n v="23"/>
    <x v="0"/>
    <x v="0"/>
    <n v="6433"/>
    <x v="1"/>
    <x v="0"/>
    <x v="3"/>
    <x v="0"/>
    <x v="0"/>
    <n v="134"/>
    <m/>
    <n v="134"/>
    <n v="6"/>
    <x v="1"/>
    <n v="295.41000000000003"/>
    <n v="343"/>
    <n v="240.1"/>
    <n v="100"/>
    <n v="25"/>
    <n v="57"/>
    <x v="20"/>
    <n v="836.29000000000008"/>
    <n v="1286.6000000000001"/>
    <n v="1093.6100000000001"/>
    <n v="1608.25"/>
    <n v="1929.8999999999999"/>
  </r>
  <r>
    <x v="9"/>
    <n v="10"/>
    <x v="1"/>
    <n v="12.9"/>
    <x v="0"/>
    <x v="0"/>
    <n v="3456"/>
    <x v="3"/>
    <x v="0"/>
    <x v="0"/>
    <x v="0"/>
    <x v="0"/>
    <n v="128"/>
    <n v="65"/>
    <n v="134"/>
    <n v="6"/>
    <x v="3"/>
    <n v="295.41000000000003"/>
    <n v="343"/>
    <n v="240.1"/>
    <n v="100"/>
    <n v="24"/>
    <n v="56"/>
    <x v="21"/>
    <n v="449.28000000000003"/>
    <n v="691.2"/>
    <n v="587.5200000000001"/>
    <n v="864"/>
    <n v="1036.8"/>
  </r>
  <r>
    <x v="9"/>
    <n v="11"/>
    <x v="0"/>
    <n v="13"/>
    <x v="0"/>
    <x v="0"/>
    <n v="6433"/>
    <x v="1"/>
    <x v="0"/>
    <x v="3"/>
    <x v="0"/>
    <x v="0"/>
    <n v="134"/>
    <m/>
    <n v="134"/>
    <n v="6"/>
    <x v="1"/>
    <n v="295.41000000000003"/>
    <n v="343"/>
    <n v="240.1"/>
    <n v="100"/>
    <n v="25"/>
    <n v="57"/>
    <x v="20"/>
    <n v="836.29000000000008"/>
    <n v="1286.6000000000001"/>
    <n v="1093.6100000000001"/>
    <n v="1608.25"/>
    <n v="1929.8999999999999"/>
  </r>
  <r>
    <x v="9"/>
    <n v="28"/>
    <x v="1"/>
    <n v="14"/>
    <x v="0"/>
    <x v="0"/>
    <n v="3456"/>
    <x v="3"/>
    <x v="0"/>
    <x v="0"/>
    <x v="0"/>
    <x v="0"/>
    <n v="128"/>
    <m/>
    <n v="134"/>
    <n v="6"/>
    <x v="3"/>
    <n v="295.41000000000003"/>
    <n v="343"/>
    <n v="240.1"/>
    <n v="100"/>
    <n v="24"/>
    <n v="56"/>
    <x v="22"/>
    <n v="449.28000000000003"/>
    <n v="691.2"/>
    <n v="587.5200000000001"/>
    <n v="864"/>
    <n v="1036.8"/>
  </r>
  <r>
    <x v="9"/>
    <n v="28"/>
    <x v="1"/>
    <n v="15"/>
    <x v="0"/>
    <x v="0"/>
    <n v="3456"/>
    <x v="3"/>
    <x v="0"/>
    <x v="0"/>
    <x v="0"/>
    <x v="0"/>
    <n v="128"/>
    <m/>
    <n v="134"/>
    <n v="6"/>
    <x v="3"/>
    <n v="295.41000000000003"/>
    <n v="343"/>
    <n v="240.1"/>
    <n v="100"/>
    <n v="24"/>
    <n v="56"/>
    <x v="22"/>
    <n v="449.28000000000003"/>
    <n v="691.2"/>
    <n v="587.5200000000001"/>
    <n v="864"/>
    <n v="1036.8"/>
  </r>
  <r>
    <x v="9"/>
    <n v="29"/>
    <x v="1"/>
    <n v="16"/>
    <x v="0"/>
    <x v="0"/>
    <n v="3456"/>
    <x v="3"/>
    <x v="0"/>
    <x v="0"/>
    <x v="0"/>
    <x v="0"/>
    <n v="128"/>
    <m/>
    <n v="134"/>
    <n v="6"/>
    <x v="3"/>
    <n v="295.41000000000003"/>
    <n v="343"/>
    <n v="240.1"/>
    <n v="100"/>
    <n v="24"/>
    <n v="56"/>
    <x v="22"/>
    <n v="449.28000000000003"/>
    <n v="691.2"/>
    <n v="587.5200000000001"/>
    <n v="864"/>
    <n v="1036.8"/>
  </r>
  <r>
    <x v="9"/>
    <n v="1"/>
    <x v="0"/>
    <n v="21"/>
    <x v="0"/>
    <x v="0"/>
    <n v="5556"/>
    <x v="0"/>
    <x v="0"/>
    <x v="0"/>
    <x v="0"/>
    <x v="0"/>
    <n v="120"/>
    <n v="65"/>
    <n v="134"/>
    <n v="6"/>
    <x v="0"/>
    <n v="295.41000000000003"/>
    <n v="343"/>
    <n v="240.1"/>
    <n v="100"/>
    <n v="22"/>
    <n v="54"/>
    <x v="0"/>
    <n v="722.28"/>
    <n v="1111.2"/>
    <n v="944.5200000000001"/>
    <n v="1389"/>
    <n v="1666.8"/>
  </r>
  <r>
    <x v="9"/>
    <n v="2"/>
    <x v="0"/>
    <n v="22"/>
    <x v="0"/>
    <x v="0"/>
    <n v="5556"/>
    <x v="0"/>
    <x v="0"/>
    <x v="0"/>
    <x v="0"/>
    <x v="0"/>
    <n v="120"/>
    <n v="65"/>
    <n v="134"/>
    <n v="6"/>
    <x v="0"/>
    <n v="295.41000000000003"/>
    <n v="343"/>
    <n v="240.1"/>
    <n v="100"/>
    <n v="22"/>
    <n v="54"/>
    <x v="0"/>
    <n v="722.28"/>
    <n v="1111.2"/>
    <n v="944.5200000000001"/>
    <n v="1389"/>
    <n v="1666.8"/>
  </r>
  <r>
    <x v="10"/>
    <n v="29"/>
    <x v="2"/>
    <n v="18"/>
    <x v="0"/>
    <x v="0"/>
    <n v="4782"/>
    <x v="3"/>
    <x v="0"/>
    <x v="0"/>
    <x v="0"/>
    <x v="0"/>
    <n v="120"/>
    <n v="65"/>
    <n v="134"/>
    <n v="6"/>
    <x v="3"/>
    <n v="295.41000000000003"/>
    <n v="399"/>
    <n v="279.29999999999995"/>
    <n v="100"/>
    <n v="25"/>
    <n v="57"/>
    <x v="23"/>
    <n v="621.66"/>
    <n v="956.40000000000009"/>
    <n v="812.94"/>
    <n v="1195.5"/>
    <n v="1434.6"/>
  </r>
  <r>
    <x v="10"/>
    <n v="11"/>
    <x v="2"/>
    <n v="17"/>
    <x v="0"/>
    <x v="0"/>
    <n v="4782"/>
    <x v="3"/>
    <x v="0"/>
    <x v="0"/>
    <x v="0"/>
    <x v="0"/>
    <n v="120"/>
    <n v="65"/>
    <n v="134"/>
    <n v="6"/>
    <x v="3"/>
    <n v="295.41000000000003"/>
    <n v="399"/>
    <n v="279.29999999999995"/>
    <n v="100"/>
    <n v="25"/>
    <n v="57"/>
    <x v="23"/>
    <n v="621.66"/>
    <n v="956.40000000000009"/>
    <n v="812.94"/>
    <n v="1195.5"/>
    <n v="1434.6"/>
  </r>
  <r>
    <x v="10"/>
    <n v="23"/>
    <x v="2"/>
    <n v="18"/>
    <x v="0"/>
    <x v="0"/>
    <n v="4782"/>
    <x v="3"/>
    <x v="0"/>
    <x v="0"/>
    <x v="0"/>
    <x v="0"/>
    <n v="120"/>
    <n v="65"/>
    <n v="134"/>
    <n v="6"/>
    <x v="3"/>
    <n v="295.41000000000003"/>
    <n v="399"/>
    <n v="279.29999999999995"/>
    <n v="100"/>
    <n v="25"/>
    <n v="57"/>
    <x v="23"/>
    <n v="621.66"/>
    <n v="956.40000000000009"/>
    <n v="812.94"/>
    <n v="1195.5"/>
    <n v="1434.6"/>
  </r>
  <r>
    <x v="10"/>
    <n v="23"/>
    <x v="2"/>
    <n v="18"/>
    <x v="0"/>
    <x v="0"/>
    <n v="4782"/>
    <x v="3"/>
    <x v="0"/>
    <x v="0"/>
    <x v="0"/>
    <x v="0"/>
    <n v="120"/>
    <n v="65"/>
    <n v="134"/>
    <n v="6"/>
    <x v="3"/>
    <n v="295.41000000000003"/>
    <n v="399"/>
    <n v="279.29999999999995"/>
    <n v="100"/>
    <n v="25"/>
    <n v="57"/>
    <x v="23"/>
    <n v="621.66"/>
    <n v="956.40000000000009"/>
    <n v="812.94"/>
    <n v="1195.5"/>
    <n v="1434.6"/>
  </r>
  <r>
    <x v="10"/>
    <n v="29"/>
    <x v="2"/>
    <n v="18"/>
    <x v="0"/>
    <x v="0"/>
    <n v="4782"/>
    <x v="3"/>
    <x v="0"/>
    <x v="0"/>
    <x v="0"/>
    <x v="0"/>
    <n v="120"/>
    <n v="65"/>
    <n v="134"/>
    <n v="6"/>
    <x v="3"/>
    <n v="295.41000000000003"/>
    <n v="399"/>
    <n v="279.29999999999995"/>
    <n v="100"/>
    <n v="25"/>
    <n v="57"/>
    <x v="23"/>
    <n v="621.66"/>
    <n v="956.40000000000009"/>
    <n v="812.94"/>
    <n v="1195.5"/>
    <n v="1434.6"/>
  </r>
  <r>
    <x v="11"/>
    <n v="12"/>
    <x v="0"/>
    <n v="12.9"/>
    <x v="0"/>
    <x v="0"/>
    <n v="5287"/>
    <x v="3"/>
    <x v="0"/>
    <x v="0"/>
    <x v="0"/>
    <x v="0"/>
    <n v="134"/>
    <m/>
    <n v="134"/>
    <n v="6"/>
    <x v="3"/>
    <n v="295.41000000000003"/>
    <n v="343"/>
    <n v="240.1"/>
    <n v="100"/>
    <n v="26"/>
    <n v="58"/>
    <x v="24"/>
    <n v="687.31000000000006"/>
    <n v="1057.4000000000001"/>
    <n v="898.79000000000008"/>
    <n v="1321.75"/>
    <n v="1586.1"/>
  </r>
  <r>
    <x v="11"/>
    <n v="24"/>
    <x v="0"/>
    <n v="18"/>
    <x v="0"/>
    <x v="0"/>
    <n v="5287"/>
    <x v="3"/>
    <x v="0"/>
    <x v="0"/>
    <x v="0"/>
    <x v="0"/>
    <n v="134"/>
    <m/>
    <n v="134"/>
    <n v="6"/>
    <x v="3"/>
    <n v="295.41000000000003"/>
    <n v="343"/>
    <n v="240.1"/>
    <n v="100"/>
    <n v="26"/>
    <n v="58"/>
    <x v="24"/>
    <n v="687.31000000000006"/>
    <n v="1057.4000000000001"/>
    <n v="898.79000000000008"/>
    <n v="1321.75"/>
    <n v="1586.1"/>
  </r>
  <r>
    <x v="11"/>
    <n v="25"/>
    <x v="0"/>
    <n v="18"/>
    <x v="0"/>
    <x v="0"/>
    <n v="5287"/>
    <x v="3"/>
    <x v="0"/>
    <x v="0"/>
    <x v="0"/>
    <x v="0"/>
    <n v="134"/>
    <m/>
    <n v="134"/>
    <n v="6"/>
    <x v="3"/>
    <n v="295.41000000000003"/>
    <n v="343"/>
    <n v="240.1"/>
    <n v="100"/>
    <n v="26"/>
    <n v="58"/>
    <x v="24"/>
    <n v="687.31000000000006"/>
    <n v="1057.4000000000001"/>
    <n v="898.79000000000008"/>
    <n v="1321.75"/>
    <n v="158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CC6FCD-7C89-47B0-A71A-4463EFCD936C}" name="Tabela przestawna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80:Q84" firstHeaderRow="1" firstDataRow="1" firstDataCol="1"/>
  <pivotFields count="31">
    <pivotField compact="0" outline="0" showAll="0">
      <items count="25">
        <item m="1" x="14"/>
        <item x="0"/>
        <item x="1"/>
        <item x="2"/>
        <item x="3"/>
        <item x="4"/>
        <item x="5"/>
        <item x="6"/>
        <item x="7"/>
        <item x="8"/>
        <item x="9"/>
        <item x="10"/>
        <item x="11"/>
        <item m="1" x="15"/>
        <item m="1" x="18"/>
        <item m="1" x="22"/>
        <item m="1" x="13"/>
        <item m="1" x="12"/>
        <item m="1" x="17"/>
        <item m="1" x="16"/>
        <item m="1" x="21"/>
        <item m="1" x="20"/>
        <item m="1" x="19"/>
        <item m="1" x="23"/>
        <item t="default"/>
      </items>
    </pivotField>
    <pivotField compact="0" outline="0" showAll="0"/>
    <pivotField axis="axisRow"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items count="2">
        <item x="0"/>
        <item t="default"/>
      </items>
    </pivotField>
    <pivotField compact="0" outline="0" showAll="0">
      <items count="7">
        <item x="5"/>
        <item x="1"/>
        <item x="4"/>
        <item x="3"/>
        <item x="0"/>
        <item x="2"/>
        <item t="default"/>
      </items>
    </pivotField>
    <pivotField compact="0" outline="0" showAll="0">
      <items count="14">
        <item x="0"/>
        <item x="1"/>
        <item x="2"/>
        <item x="3"/>
        <item x="4"/>
        <item x="5"/>
        <item x="6"/>
        <item x="7"/>
        <item x="8"/>
        <item x="9"/>
        <item x="10"/>
        <item x="11"/>
        <item x="12"/>
        <item t="default"/>
      </items>
    </pivotField>
    <pivotField compact="0" outline="0" showAll="0">
      <items count="2">
        <item x="0"/>
        <item t="default"/>
      </items>
    </pivotField>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dragToRow="0" dragToCol="0" dragToPage="0" showAll="0" defaultSubtotal="0"/>
    <pivotField compact="0" outline="0" subtotalTop="0" dragToRow="0" dragToCol="0" dragToPage="0" showAll="0" defaultSubtotal="0"/>
  </pivotFields>
  <rowFields count="1">
    <field x="2"/>
  </rowFields>
  <rowItems count="4">
    <i>
      <x/>
    </i>
    <i>
      <x v="1"/>
    </i>
    <i>
      <x v="2"/>
    </i>
    <i t="grand">
      <x/>
    </i>
  </rowItems>
  <colItems count="1">
    <i/>
  </colItems>
  <dataFields count="1">
    <dataField name="Liczba z Load" fld="2"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640E8D-8905-4774-94E1-BFAECB68E5C3}"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66:S67" firstHeaderRow="0" firstDataRow="1" firstDataCol="0"/>
  <pivotFields count="31">
    <pivotField compact="0" outline="0" showAll="0">
      <items count="25">
        <item m="1" x="14"/>
        <item x="0"/>
        <item x="1"/>
        <item x="2"/>
        <item x="3"/>
        <item x="4"/>
        <item x="5"/>
        <item x="6"/>
        <item x="7"/>
        <item x="8"/>
        <item x="9"/>
        <item x="10"/>
        <item x="11"/>
        <item m="1" x="15"/>
        <item m="1" x="18"/>
        <item m="1" x="22"/>
        <item m="1" x="13"/>
        <item m="1" x="12"/>
        <item m="1" x="17"/>
        <item m="1" x="16"/>
        <item m="1" x="21"/>
        <item m="1" x="20"/>
        <item m="1" x="19"/>
        <item m="1" x="23"/>
        <item t="default"/>
      </items>
    </pivotField>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dataField="1" compact="0" outline="0" showAll="0">
      <items count="2">
        <item x="0"/>
        <item t="default"/>
      </items>
    </pivotField>
    <pivotField dataField="1" compact="0" outline="0" showAll="0">
      <items count="7">
        <item x="5"/>
        <item x="1"/>
        <item x="4"/>
        <item x="3"/>
        <item x="0"/>
        <item x="2"/>
        <item t="default"/>
      </items>
    </pivotField>
    <pivotField dataField="1" compact="0" outline="0" showAll="0">
      <items count="14">
        <item x="0"/>
        <item x="1"/>
        <item x="2"/>
        <item x="3"/>
        <item x="4"/>
        <item x="5"/>
        <item x="6"/>
        <item x="7"/>
        <item x="8"/>
        <item x="9"/>
        <item x="10"/>
        <item x="11"/>
        <item x="12"/>
        <item t="default"/>
      </items>
    </pivotField>
    <pivotField dataField="1" compact="0" outline="0" showAll="0">
      <items count="2">
        <item x="0"/>
        <item t="default"/>
      </items>
    </pivotField>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dragToRow="0" dragToCol="0" dragToPage="0" showAll="0" defaultSubtotal="0"/>
    <pivotField compact="0" outline="0" subtotalTop="0" dragToRow="0" dragToCol="0" dragToPage="0" showAll="0" defaultSubtotal="0"/>
  </pivotFields>
  <rowItems count="1">
    <i/>
  </rowItems>
  <colFields count="1">
    <field x="-2"/>
  </colFields>
  <colItems count="4">
    <i>
      <x/>
    </i>
    <i i="1">
      <x v="1"/>
    </i>
    <i i="2">
      <x v="2"/>
    </i>
    <i i="3">
      <x v="3"/>
    </i>
  </colItems>
  <dataFields count="4">
    <dataField name="Sum of Insurance" fld="8" baseField="0" baseItem="0"/>
    <dataField name="Sum of Fuel" fld="9" baseField="0" baseItem="0"/>
    <dataField name="Sum of Diesel Exhaust Fluid" fld="10" baseField="0" baseItem="0"/>
    <dataField name="Sum of Advance" fld="11"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F424DA-9C5D-4357-90FA-53366AB7B122}"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3:Z7" firstHeaderRow="0" firstDataRow="1" firstDataCol="1"/>
  <pivotFields count="31">
    <pivotField compact="0" outline="0" showAll="0">
      <items count="25">
        <item m="1" x="14"/>
        <item x="0"/>
        <item x="1"/>
        <item x="2"/>
        <item x="3"/>
        <item x="4"/>
        <item x="5"/>
        <item x="6"/>
        <item x="7"/>
        <item x="8"/>
        <item x="9"/>
        <item x="10"/>
        <item x="11"/>
        <item m="1" x="15"/>
        <item m="1" x="18"/>
        <item m="1" x="22"/>
        <item m="1" x="13"/>
        <item m="1" x="12"/>
        <item m="1" x="17"/>
        <item m="1" x="16"/>
        <item m="1" x="21"/>
        <item m="1" x="20"/>
        <item m="1" x="19"/>
        <item m="1" x="23"/>
        <item t="default"/>
      </items>
    </pivotField>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ubtotalTop="0" dragToRow="0" dragToCol="0" dragToPage="0" showAll="0" defaultSubtotal="0"/>
    <pivotField compact="0" outline="0" subtotalTop="0" dragToRow="0" dragToCol="0" dragToPage="0" showAll="0" defaultSubtotal="0"/>
  </pivotFields>
  <rowFields count="1">
    <field x="2"/>
  </rowFields>
  <rowItems count="4">
    <i>
      <x/>
    </i>
    <i>
      <x v="1"/>
    </i>
    <i>
      <x v="2"/>
    </i>
    <i t="grand">
      <x/>
    </i>
  </rowItems>
  <colFields count="1">
    <field x="-2"/>
  </colFields>
  <colItems count="2">
    <i>
      <x/>
    </i>
    <i i="1">
      <x v="1"/>
    </i>
  </colItems>
  <dataFields count="2">
    <dataField name="Sum of Miles" fld="18" baseField="0" baseItem="0"/>
    <dataField name="Sum of Final Amount" fld="28" baseField="0" baseItem="0"/>
  </dataFields>
  <formats count="7">
    <format dxfId="8">
      <pivotArea outline="0" collapsedLevelsAreSubtotals="1" fieldPosition="0"/>
    </format>
    <format dxfId="7">
      <pivotArea type="all" dataOnly="0" outline="0" fieldPosition="0"/>
    </format>
    <format dxfId="6">
      <pivotArea outline="0" collapsedLevelsAreSubtotals="1" fieldPosition="0"/>
    </format>
    <format dxfId="5">
      <pivotArea field="2" type="button" dataOnly="0" labelOnly="1" outline="0" axis="axisRow" fieldPosition="0"/>
    </format>
    <format dxfId="4">
      <pivotArea dataOnly="0" labelOnly="1" outline="0" fieldPosition="0">
        <references count="1">
          <reference field="2" count="0"/>
        </references>
      </pivotArea>
    </format>
    <format dxfId="3">
      <pivotArea dataOnly="0" labelOnly="1" grandRow="1" outline="0" fieldPosition="0"/>
    </format>
    <format dxfId="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A129B9-1D5F-4F1D-929D-20CB3C8C473D}"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U11:X16" firstHeaderRow="0" firstDataRow="1" firstDataCol="1"/>
  <pivotFields count="31">
    <pivotField compact="0" outline="0" showAll="0">
      <items count="25">
        <item m="1" x="14"/>
        <item x="0"/>
        <item x="1"/>
        <item x="2"/>
        <item x="3"/>
        <item x="4"/>
        <item x="5"/>
        <item x="6"/>
        <item x="7"/>
        <item x="8"/>
        <item x="9"/>
        <item x="10"/>
        <item x="11"/>
        <item m="1" x="15"/>
        <item m="1" x="18"/>
        <item m="1" x="22"/>
        <item m="1" x="13"/>
        <item m="1" x="12"/>
        <item m="1" x="17"/>
        <item m="1" x="16"/>
        <item m="1" x="21"/>
        <item m="1" x="20"/>
        <item m="1" x="19"/>
        <item m="1" x="23"/>
        <item t="default"/>
      </items>
    </pivotField>
    <pivotField compact="0" outline="0" showAll="0"/>
    <pivotField dataField="1" compact="0" outline="0" showAll="0">
      <items count="4">
        <item x="2"/>
        <item x="1"/>
        <item x="0"/>
        <item t="default"/>
      </items>
    </pivotField>
    <pivotField dataField="1" compact="0" outline="0" showAll="0"/>
    <pivotField compact="0" outline="0" showAll="0"/>
    <pivotField compact="0" outline="0" showAll="0"/>
    <pivotField compact="0" outline="0" showAll="0"/>
    <pivotField axis="axisRow" dataField="1" compact="0" outline="0" showAll="0">
      <items count="5">
        <item x="1"/>
        <item x="0"/>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dragToRow="0" dragToCol="0" dragToPage="0" showAll="0" defaultSubtotal="0"/>
    <pivotField compact="0" outline="0" subtotalTop="0" dragToRow="0" dragToCol="0" dragToPage="0" showAll="0" defaultSubtotal="0"/>
  </pivotFields>
  <rowFields count="1">
    <field x="7"/>
  </rowFields>
  <rowItems count="5">
    <i>
      <x/>
    </i>
    <i>
      <x v="1"/>
    </i>
    <i>
      <x v="2"/>
    </i>
    <i>
      <x v="3"/>
    </i>
    <i t="grand">
      <x/>
    </i>
  </rowItems>
  <colFields count="1">
    <field x="-2"/>
  </colFields>
  <colItems count="3">
    <i>
      <x/>
    </i>
    <i i="1">
      <x v="1"/>
    </i>
    <i i="2">
      <x v="2"/>
    </i>
  </colItems>
  <dataFields count="3">
    <dataField name="Count of Load" fld="2" subtotal="count" baseField="0" baseItem="0"/>
    <dataField name="Sum of Tonnage" fld="3" baseField="0" baseItem="0"/>
    <dataField name="Common Truck" fld="7" subtotal="count" showDataAs="percentOfTotal" baseField="0" baseItem="0" numFmtId="10"/>
  </dataFields>
  <formats count="9">
    <format dxfId="17">
      <pivotArea outline="0" collapsedLevelsAreSubtotals="1" fieldPosition="0"/>
    </format>
    <format dxfId="16">
      <pivotArea type="all" dataOnly="0" outline="0" fieldPosition="0"/>
    </format>
    <format dxfId="15">
      <pivotArea outline="0" collapsedLevelsAreSubtotals="1" fieldPosition="0"/>
    </format>
    <format dxfId="14">
      <pivotArea field="7" type="button" dataOnly="0" labelOnly="1" outline="0" axis="axisRow" fieldPosition="0"/>
    </format>
    <format dxfId="13">
      <pivotArea dataOnly="0" labelOnly="1" outline="0" fieldPosition="0">
        <references count="1">
          <reference field="7" count="0"/>
        </references>
      </pivotArea>
    </format>
    <format dxfId="12">
      <pivotArea dataOnly="0" labelOnly="1" grandRow="1" outline="0" fieldPosition="0"/>
    </format>
    <format dxfId="11">
      <pivotArea dataOnly="0" labelOnly="1" outline="0" fieldPosition="0">
        <references count="1">
          <reference field="4294967294" count="2">
            <x v="0"/>
            <x v="1"/>
          </reference>
        </references>
      </pivotArea>
    </format>
    <format dxfId="10">
      <pivotArea outline="0" fieldPosition="0">
        <references count="1">
          <reference field="4294967294" count="1">
            <x v="2"/>
          </reference>
        </references>
      </pivotArea>
    </format>
    <format dxfId="9">
      <pivotArea outline="0" fieldPosition="0">
        <references count="2">
          <reference field="4294967294" count="1" selected="0">
            <x v="2"/>
          </reference>
          <reference field="7"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D23DFA-1ABB-4E9C-B83C-F523312C78B9}"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U3:W7" firstHeaderRow="0" firstDataRow="1" firstDataCol="1"/>
  <pivotFields count="31">
    <pivotField compact="0" outline="0" showAll="0">
      <items count="25">
        <item m="1" x="14"/>
        <item x="0"/>
        <item x="1"/>
        <item x="2"/>
        <item x="3"/>
        <item x="4"/>
        <item x="5"/>
        <item x="6"/>
        <item x="7"/>
        <item x="8"/>
        <item x="9"/>
        <item x="10"/>
        <item x="11"/>
        <item m="1" x="15"/>
        <item m="1" x="18"/>
        <item m="1" x="22"/>
        <item m="1" x="13"/>
        <item m="1" x="12"/>
        <item m="1" x="17"/>
        <item m="1" x="16"/>
        <item m="1" x="21"/>
        <item m="1" x="20"/>
        <item m="1" x="19"/>
        <item m="1" x="23"/>
        <item t="default"/>
      </items>
    </pivotField>
    <pivotField compact="0" outline="0" showAll="0"/>
    <pivotField axis="axisRow"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dragToRow="0" dragToCol="0" dragToPage="0" showAll="0" defaultSubtotal="0"/>
    <pivotField compact="0" outline="0" subtotalTop="0" dragToRow="0" dragToCol="0" dragToPage="0" showAll="0" defaultSubtotal="0"/>
  </pivotFields>
  <rowFields count="1">
    <field x="2"/>
  </rowFields>
  <rowItems count="4">
    <i>
      <x/>
    </i>
    <i>
      <x v="1"/>
    </i>
    <i>
      <x v="2"/>
    </i>
    <i t="grand">
      <x/>
    </i>
  </rowItems>
  <colFields count="1">
    <field x="-2"/>
  </colFields>
  <colItems count="2">
    <i>
      <x/>
    </i>
    <i i="1">
      <x v="1"/>
    </i>
  </colItems>
  <dataFields count="2">
    <dataField name="Count of Load" fld="2" subtotal="count" baseField="0" baseItem="0"/>
    <dataField name="Count of Load2" fld="2" subtotal="count" showDataAs="percentOfTotal" baseField="2" baseItem="0" numFmtId="10"/>
  </dataFields>
  <formats count="9">
    <format dxfId="26">
      <pivotArea outline="0" collapsedLevelsAreSubtotals="1" fieldPosition="0"/>
    </format>
    <format dxfId="25">
      <pivotArea type="all" dataOnly="0" outline="0" fieldPosition="0"/>
    </format>
    <format dxfId="24">
      <pivotArea outline="0" collapsedLevelsAreSubtotals="1" fieldPosition="0"/>
    </format>
    <format dxfId="23">
      <pivotArea field="2" type="button" dataOnly="0" labelOnly="1" outline="0" axis="axisRow" fieldPosition="0"/>
    </format>
    <format dxfId="22">
      <pivotArea dataOnly="0" labelOnly="1" outline="0" fieldPosition="0">
        <references count="1">
          <reference field="2" count="0"/>
        </references>
      </pivotArea>
    </format>
    <format dxfId="21">
      <pivotArea dataOnly="0" labelOnly="1" grandRow="1" outline="0" fieldPosition="0"/>
    </format>
    <format dxfId="20">
      <pivotArea dataOnly="0" labelOnly="1" outline="0" axis="axisValues" fieldPosition="0"/>
    </format>
    <format dxfId="19">
      <pivotArea outline="0" fieldPosition="0">
        <references count="1">
          <reference field="4294967294" count="1">
            <x v="1"/>
          </reference>
        </references>
      </pivotArea>
    </format>
    <format dxfId="18">
      <pivotArea outline="0" fieldPosition="0">
        <references count="2">
          <reference field="4294967294" count="1" selected="0">
            <x v="1"/>
          </reference>
          <reference field="2"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12F3FE-3408-4011-8481-21C176304A13}"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F8:G21" firstHeaderRow="1" firstDataRow="1" firstDataCol="1"/>
  <pivotFields count="31">
    <pivotField axis="axisRow" compact="0" outline="0"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ubtotalTop="0" dragToRow="0" dragToCol="0" dragToPage="0" showAll="0" defaultSubtotal="0"/>
    <pivotField compact="0" outline="0" subtotalTop="0" dragToRow="0" dragToCol="0" dragToPage="0" showAll="0" defaultSubtotal="0"/>
  </pivotFields>
  <rowFields count="1">
    <field x="0"/>
  </rowFields>
  <rowItems count="13">
    <i>
      <x v="12"/>
    </i>
    <i>
      <x v="13"/>
    </i>
    <i>
      <x v="14"/>
    </i>
    <i>
      <x v="15"/>
    </i>
    <i>
      <x v="16"/>
    </i>
    <i>
      <x v="17"/>
    </i>
    <i>
      <x v="18"/>
    </i>
    <i>
      <x v="19"/>
    </i>
    <i>
      <x v="20"/>
    </i>
    <i>
      <x v="21"/>
    </i>
    <i>
      <x v="22"/>
    </i>
    <i>
      <x v="23"/>
    </i>
    <i t="grand">
      <x/>
    </i>
  </rowItems>
  <colItems count="1">
    <i/>
  </colItems>
  <dataFields count="1">
    <dataField name="Sum of Balance" fld="29" baseField="0" baseItem="0"/>
  </dataFields>
  <formats count="7">
    <format dxfId="33">
      <pivotArea outline="0" collapsedLevelsAreSubtotals="1" fieldPosition="0"/>
    </format>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outline="0" fieldPosition="0">
        <references count="1">
          <reference field="0" count="0"/>
        </references>
      </pivotArea>
    </format>
    <format dxfId="28">
      <pivotArea dataOnly="0" labelOnly="1" grandRow="1" outline="0" fieldPosition="0"/>
    </format>
    <format dxfId="2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716562-01C7-429C-89AD-8A0D4059D39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35:U36" firstHeaderRow="0" firstDataRow="1" firstDataCol="0"/>
  <pivotFields count="31">
    <pivotField compact="0" outline="0" showAll="0">
      <items count="25">
        <item m="1" x="14"/>
        <item x="0"/>
        <item x="1"/>
        <item x="2"/>
        <item x="3"/>
        <item x="4"/>
        <item x="5"/>
        <item x="6"/>
        <item x="7"/>
        <item x="8"/>
        <item x="9"/>
        <item x="10"/>
        <item x="11"/>
        <item m="1" x="15"/>
        <item m="1" x="18"/>
        <item m="1" x="22"/>
        <item m="1" x="13"/>
        <item m="1" x="12"/>
        <item m="1" x="17"/>
        <item m="1" x="16"/>
        <item m="1" x="21"/>
        <item m="1" x="20"/>
        <item m="1" x="19"/>
        <item m="1" x="23"/>
        <item t="default"/>
      </items>
    </pivotField>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dragToRow="0" dragToCol="0" dragToPage="0" showAll="0" defaultSubtotal="0"/>
    <pivotField dataField="1" compact="0" outline="0" subtotalTop="0" dragToRow="0" dragToCol="0" dragToPage="0" showAll="0" defaultSubtotal="0"/>
  </pivotFields>
  <rowItems count="1">
    <i/>
  </rowItems>
  <colFields count="1">
    <field x="-2"/>
  </colFields>
  <colItems count="6">
    <i>
      <x/>
    </i>
    <i i="1">
      <x v="1"/>
    </i>
    <i i="2">
      <x v="2"/>
    </i>
    <i i="3">
      <x v="3"/>
    </i>
    <i i="4">
      <x v="4"/>
    </i>
    <i i="5">
      <x v="5"/>
    </i>
  </colItems>
  <dataFields count="6">
    <dataField name="Sum of Miles" fld="18" baseField="0" baseItem="0"/>
    <dataField name="Sum of Rate Per Miles" fld="19" baseField="0" baseItem="0" numFmtId="3"/>
    <dataField name="Sum of Rate Per Mile" fld="30" baseField="0" baseItem="0" numFmtId="171"/>
    <dataField name="Sum of Extra Pay" fld="21" baseField="0" baseItem="0" numFmtId="164"/>
    <dataField name="Sum of Extra Stops" fld="20" baseField="0" baseItem="0" numFmtId="164"/>
    <dataField name="Sum of Costs Driver Paid" fld="22" baseField="0" baseItem="0" numFmtId="164"/>
  </dataFields>
  <formats count="9">
    <format dxfId="42">
      <pivotArea outline="0" collapsedLevelsAreSubtotals="1" fieldPosition="0"/>
    </format>
    <format dxfId="41">
      <pivotArea outline="0" fieldPosition="0">
        <references count="1">
          <reference field="4294967294" count="1" selected="0">
            <x v="3"/>
          </reference>
        </references>
      </pivotArea>
    </format>
    <format dxfId="40">
      <pivotArea outline="0" fieldPosition="0">
        <references count="1">
          <reference field="4294967294" count="1" selected="0">
            <x v="5"/>
          </reference>
        </references>
      </pivotArea>
    </format>
    <format dxfId="39">
      <pivotArea outline="0" fieldPosition="0">
        <references count="1">
          <reference field="4294967294" count="1" selected="0">
            <x v="4"/>
          </reference>
        </references>
      </pivotArea>
    </format>
    <format dxfId="38">
      <pivotArea type="all" dataOnly="0" outline="0" fieldPosition="0"/>
    </format>
    <format dxfId="37">
      <pivotArea outline="0" collapsedLevelsAreSubtotals="1" fieldPosition="0"/>
    </format>
    <format dxfId="36">
      <pivotArea dataOnly="0" labelOnly="1" outline="0" fieldPosition="0">
        <references count="1">
          <reference field="4294967294" count="6">
            <x v="0"/>
            <x v="1"/>
            <x v="2"/>
            <x v="3"/>
            <x v="4"/>
            <x v="5"/>
          </reference>
        </references>
      </pivotArea>
    </format>
    <format dxfId="35">
      <pivotArea outline="0" fieldPosition="0">
        <references count="1">
          <reference field="4294967294" count="1" selected="0">
            <x v="2"/>
          </reference>
        </references>
      </pivotArea>
    </format>
    <format dxfId="34">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43326B-28D7-4B22-A1D3-B9586ADC5693}"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Y11:Z19" firstHeaderRow="1" firstDataRow="1" firstDataCol="1"/>
  <pivotFields count="31">
    <pivotField compact="0" outline="0" showAll="0">
      <items count="25">
        <item m="1" x="14"/>
        <item x="0"/>
        <item x="1"/>
        <item x="2"/>
        <item x="3"/>
        <item x="4"/>
        <item x="5"/>
        <item x="6"/>
        <item x="7"/>
        <item x="8"/>
        <item x="9"/>
        <item x="10"/>
        <item x="11"/>
        <item m="1" x="15"/>
        <item m="1" x="18"/>
        <item m="1" x="22"/>
        <item m="1" x="13"/>
        <item m="1" x="12"/>
        <item m="1" x="17"/>
        <item m="1" x="16"/>
        <item m="1" x="21"/>
        <item m="1" x="20"/>
        <item m="1" x="19"/>
        <item m="1" x="23"/>
        <item t="default"/>
      </items>
    </pivotField>
    <pivotField compact="0" outline="0" showAll="0"/>
    <pivotField compact="0" outline="0" showAll="0">
      <items count="4">
        <item x="2"/>
        <item x="1"/>
        <item x="0"/>
        <item t="default"/>
      </items>
    </pivotField>
    <pivotField compact="0" outline="0" showAll="0"/>
    <pivotField compact="0" outline="0" showAll="0"/>
    <pivotField axis="axisRow" dataField="1" compact="0" outline="0" showAll="0">
      <items count="9">
        <item x="4"/>
        <item x="1"/>
        <item x="2"/>
        <item x="3"/>
        <item x="6"/>
        <item x="0"/>
        <item m="1" x="7"/>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dragToRow="0" dragToCol="0" dragToPage="0" showAll="0" defaultSubtotal="0"/>
    <pivotField compact="0" outline="0" subtotalTop="0" dragToRow="0" dragToCol="0" dragToPage="0" showAll="0" defaultSubtotal="0"/>
  </pivotFields>
  <rowFields count="1">
    <field x="5"/>
  </rowFields>
  <rowItems count="8">
    <i>
      <x/>
    </i>
    <i>
      <x v="1"/>
    </i>
    <i>
      <x v="2"/>
    </i>
    <i>
      <x v="3"/>
    </i>
    <i>
      <x v="4"/>
    </i>
    <i>
      <x v="5"/>
    </i>
    <i>
      <x v="7"/>
    </i>
    <i t="grand">
      <x/>
    </i>
  </rowItems>
  <colItems count="1">
    <i/>
  </colItems>
  <dataFields count="1">
    <dataField name="Count of Destination" fld="5" subtotal="count" baseField="0" baseItem="0"/>
  </dataFields>
  <formats count="7">
    <format dxfId="49">
      <pivotArea outline="0" collapsedLevelsAreSubtotals="1" fieldPosition="0"/>
    </format>
    <format dxfId="48">
      <pivotArea type="all" dataOnly="0" outline="0" fieldPosition="0"/>
    </format>
    <format dxfId="47">
      <pivotArea outline="0" collapsedLevelsAreSubtotals="1" fieldPosition="0"/>
    </format>
    <format dxfId="46">
      <pivotArea field="5" type="button" dataOnly="0" labelOnly="1" outline="0" axis="axisRow" fieldPosition="0"/>
    </format>
    <format dxfId="45">
      <pivotArea dataOnly="0" labelOnly="1" outline="0" fieldPosition="0">
        <references count="1">
          <reference field="5" count="0"/>
        </references>
      </pivotArea>
    </format>
    <format dxfId="44">
      <pivotArea dataOnly="0" labelOnly="1" grandRow="1" outline="0" fieldPosition="0"/>
    </format>
    <format dxfId="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F59DEC-584D-4BE6-A171-E7FB0215A765}"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66:I79" firstHeaderRow="0" firstDataRow="1" firstDataCol="1"/>
  <pivotFields count="31">
    <pivotField axis="axisRow" compact="0" outline="0" showAll="0">
      <items count="25">
        <item m="1" x="14"/>
        <item x="0"/>
        <item x="1"/>
        <item x="2"/>
        <item x="3"/>
        <item x="4"/>
        <item x="5"/>
        <item x="6"/>
        <item x="7"/>
        <item x="8"/>
        <item x="9"/>
        <item x="10"/>
        <item x="11"/>
        <item m="1" x="15"/>
        <item m="1" x="18"/>
        <item m="1" x="22"/>
        <item m="1" x="13"/>
        <item m="1" x="12"/>
        <item m="1" x="17"/>
        <item m="1" x="16"/>
        <item m="1" x="21"/>
        <item m="1" x="20"/>
        <item m="1" x="19"/>
        <item m="1" x="23"/>
        <item t="default"/>
      </items>
    </pivotField>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ubtotalTop="0" dragToRow="0" dragToCol="0" dragToPage="0" showAll="0" defaultSubtotal="0"/>
    <pivotField compact="0" outline="0" subtotalTop="0" dragToRow="0" dragToCol="0" dragToPage="0" showAll="0" defaultSubtotal="0"/>
  </pivotFields>
  <rowFields count="1">
    <field x="0"/>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Balance" fld="29" baseField="0" baseItem="0"/>
    <dataField name="Previous Month" fld="29" showDataAs="percentDiff" baseField="0" baseItem="1048828" numFmtId="10"/>
    <dataField name="Percent of total" fld="29" showDataAs="percentOfTotal" baseField="0" baseItem="0" numFmtId="10"/>
  </dataFields>
  <formats count="5">
    <format dxfId="54">
      <pivotArea outline="0" collapsedLevelsAreSubtotals="1" fieldPosition="0"/>
    </format>
    <format dxfId="53">
      <pivotArea type="all" dataOnly="0" outline="0" fieldPosition="0"/>
    </format>
    <format dxfId="52">
      <pivotArea outline="0" collapsedLevelsAreSubtotals="1" fieldPosition="0"/>
    </format>
    <format dxfId="51">
      <pivotArea outline="0" fieldPosition="0">
        <references count="1">
          <reference field="4294967294" count="1">
            <x v="1"/>
          </reference>
        </references>
      </pivotArea>
    </format>
    <format dxfId="50">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8C0E45-0F54-4399-84F9-3AECBB2C6C01}"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21:T22" firstHeaderRow="0" firstDataRow="1" firstDataCol="0"/>
  <pivotFields count="31">
    <pivotField compact="0" outline="0" showAll="0">
      <items count="25">
        <item m="1" x="14"/>
        <item x="0"/>
        <item x="1"/>
        <item x="2"/>
        <item x="3"/>
        <item x="4"/>
        <item x="5"/>
        <item x="6"/>
        <item x="7"/>
        <item x="8"/>
        <item x="9"/>
        <item x="10"/>
        <item x="11"/>
        <item m="1" x="15"/>
        <item m="1" x="18"/>
        <item m="1" x="22"/>
        <item m="1" x="13"/>
        <item m="1" x="12"/>
        <item m="1" x="17"/>
        <item m="1" x="16"/>
        <item m="1" x="21"/>
        <item m="1" x="20"/>
        <item m="1" x="19"/>
        <item m="1" x="23"/>
        <item t="default"/>
      </items>
    </pivotField>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dragToRow="0" dragToCol="0" dragToPage="0" showAll="0" defaultSubtotal="0"/>
    <pivotField compact="0" outline="0" subtotalTop="0" dragToRow="0" dragToCol="0" dragToPage="0" showAll="0" defaultSubtotal="0"/>
  </pivotFields>
  <rowItems count="1">
    <i/>
  </rowItems>
  <colFields count="1">
    <field x="-2"/>
  </colFields>
  <colItems count="5">
    <i>
      <x/>
    </i>
    <i i="1">
      <x v="1"/>
    </i>
    <i i="2">
      <x v="2"/>
    </i>
    <i i="3">
      <x v="3"/>
    </i>
    <i i="4">
      <x v="4"/>
    </i>
  </colItems>
  <dataFields count="5">
    <dataField name="Sum of Fundings" fld="15" baseField="0" baseItem="0"/>
    <dataField name="Sum of Warehouse" fld="12" baseField="0" baseItem="0"/>
    <dataField name="Sum of Tolls" fld="14" baseField="0" baseItem="0"/>
    <dataField name="Sum of Repairs" fld="13" baseField="0" baseItem="0"/>
    <dataField name="Suma z Costs Driver Paid" fld="22" baseField="0" baseItem="0"/>
  </dataFields>
  <formats count="4">
    <format dxfId="58">
      <pivotArea outline="0" collapsedLevelsAreSubtotals="1" fieldPosition="0"/>
    </format>
    <format dxfId="57">
      <pivotArea type="all" dataOnly="0" outline="0" fieldPosition="0"/>
    </format>
    <format dxfId="56">
      <pivotArea outline="0" collapsedLevelsAreSubtotals="1" fieldPosition="0"/>
    </format>
    <format dxfId="5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292497-7669-41A3-9F6D-79A0B2078401}"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8:M11" firstHeaderRow="0" firstDataRow="1" firstDataCol="1"/>
  <pivotFields count="31">
    <pivotField compact="0" outline="0" showAll="0">
      <items count="25">
        <item m="1" x="14"/>
        <item x="0"/>
        <item x="1"/>
        <item x="2"/>
        <item x="3"/>
        <item x="4"/>
        <item x="5"/>
        <item x="6"/>
        <item x="7"/>
        <item x="8"/>
        <item x="9"/>
        <item x="10"/>
        <item x="11"/>
        <item m="1" x="15"/>
        <item m="1" x="18"/>
        <item m="1" x="22"/>
        <item m="1" x="13"/>
        <item m="1" x="12"/>
        <item m="1" x="17"/>
        <item m="1" x="16"/>
        <item m="1" x="21"/>
        <item m="1" x="20"/>
        <item m="1" x="19"/>
        <item m="1" x="23"/>
        <item t="default"/>
      </items>
    </pivotField>
    <pivotField compact="0" outline="0" showAll="0"/>
    <pivotField compact="0" outline="0" showAll="0">
      <items count="4">
        <item x="2"/>
        <item x="1"/>
        <item x="0"/>
        <item t="default"/>
      </items>
    </pivotField>
    <pivotField compact="0" outline="0" showAll="0"/>
    <pivotField axis="axisRow"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dragToRow="0" dragToCol="0" dragToPage="0" showAll="0" defaultSubtotal="0"/>
    <pivotField compact="0" outline="0" subtotalTop="0" dragToRow="0" dragToCol="0" dragToPage="0" showAll="0" defaultSubtotal="0"/>
  </pivotFields>
  <rowFields count="1">
    <field x="4"/>
  </rowFields>
  <rowItems count="3">
    <i>
      <x/>
    </i>
    <i>
      <x v="1"/>
    </i>
    <i t="grand">
      <x/>
    </i>
  </rowItems>
  <colFields count="1">
    <field x="-2"/>
  </colFields>
  <colItems count="2">
    <i>
      <x/>
    </i>
    <i i="1">
      <x v="1"/>
    </i>
  </colItems>
  <dataFields count="2">
    <dataField name="Count of Customer Type" fld="4" subtotal="count" baseField="0" baseItem="0"/>
    <dataField name="Count of Customer Type2" fld="4" subtotal="count" showDataAs="percentOfTotal" baseField="0" baseItem="0" numFmtId="10"/>
  </dataFields>
  <formats count="11">
    <format dxfId="69">
      <pivotArea outline="0" collapsedLevelsAreSubtotals="1" fieldPosition="0"/>
    </format>
    <format dxfId="68">
      <pivotArea type="all" dataOnly="0" outline="0" fieldPosition="0"/>
    </format>
    <format dxfId="67">
      <pivotArea outline="0" collapsedLevelsAreSubtotals="1" fieldPosition="0"/>
    </format>
    <format dxfId="66">
      <pivotArea field="4" type="button" dataOnly="0" labelOnly="1" outline="0" axis="axisRow" fieldPosition="0"/>
    </format>
    <format dxfId="65">
      <pivotArea dataOnly="0" labelOnly="1" outline="0" fieldPosition="0">
        <references count="1">
          <reference field="4" count="0"/>
        </references>
      </pivotArea>
    </format>
    <format dxfId="64">
      <pivotArea dataOnly="0" labelOnly="1" grandRow="1" outline="0" fieldPosition="0"/>
    </format>
    <format dxfId="63">
      <pivotArea dataOnly="0" labelOnly="1" outline="0" axis="axisValues" fieldPosition="0"/>
    </format>
    <format dxfId="62">
      <pivotArea outline="0" fieldPosition="0">
        <references count="1">
          <reference field="4294967294" count="1">
            <x v="1"/>
          </reference>
        </references>
      </pivotArea>
    </format>
    <format dxfId="61">
      <pivotArea outline="0" fieldPosition="0">
        <references count="2">
          <reference field="4294967294" count="1" selected="0">
            <x v="1"/>
          </reference>
          <reference field="4" count="1" selected="0">
            <x v="0"/>
          </reference>
        </references>
      </pivotArea>
    </format>
    <format dxfId="60">
      <pivotArea outline="0" fieldPosition="0">
        <references count="2">
          <reference field="4294967294" count="1" selected="0">
            <x v="1"/>
          </reference>
          <reference field="4" count="1" selected="0">
            <x v="1"/>
          </reference>
        </references>
      </pivotArea>
    </format>
    <format dxfId="59">
      <pivotArea field="4" grandRow="1" outline="0"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B4DBD3-1709-40F4-837C-D009CC711CBE}"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8:S9" firstHeaderRow="0" firstDataRow="1" firstDataCol="0"/>
  <pivotFields count="31">
    <pivotField compact="0" outline="0" showAll="0">
      <items count="25">
        <item m="1" x="14"/>
        <item x="0"/>
        <item x="1"/>
        <item x="2"/>
        <item x="3"/>
        <item x="4"/>
        <item x="5"/>
        <item x="6"/>
        <item x="7"/>
        <item x="8"/>
        <item x="9"/>
        <item x="10"/>
        <item x="11"/>
        <item m="1" x="15"/>
        <item m="1" x="18"/>
        <item m="1" x="22"/>
        <item m="1" x="13"/>
        <item m="1" x="12"/>
        <item m="1" x="17"/>
        <item m="1" x="16"/>
        <item m="1" x="21"/>
        <item m="1" x="20"/>
        <item m="1" x="19"/>
        <item m="1" x="23"/>
        <item t="default"/>
      </items>
    </pivotField>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dataField="1" compact="0" outline="0" showAll="0">
      <items count="2">
        <item x="0"/>
        <item t="default"/>
      </items>
    </pivotField>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dragToRow="0" dragToCol="0" dragToPage="0" showAll="0" defaultSubtotal="0"/>
    <pivotField compact="0" outline="0" subtotalTop="0" dragToRow="0" dragToCol="0" dragToPage="0" showAll="0" defaultSubtotal="0"/>
  </pivotFields>
  <rowItems count="1">
    <i/>
  </rowItems>
  <colFields count="1">
    <field x="-2"/>
  </colFields>
  <colItems count="4">
    <i>
      <x/>
    </i>
    <i i="1">
      <x v="1"/>
    </i>
    <i i="2">
      <x v="2"/>
    </i>
    <i i="3">
      <x v="3"/>
    </i>
  </colItems>
  <dataFields count="4">
    <dataField name="Sum of Insurance" fld="8" baseField="0" baseItem="0"/>
    <dataField name="Sum of Fuel" fld="9" baseField="0" baseItem="0"/>
    <dataField name="Sum of Diesel Exhaust Fluid" fld="10" baseField="0" baseItem="0"/>
    <dataField name="Sum of Advance" fld="11" baseField="0" baseItem="0"/>
  </dataFields>
  <formats count="4">
    <format dxfId="73">
      <pivotArea outline="0" collapsedLevelsAreSubtotals="1" fieldPosition="0"/>
    </format>
    <format dxfId="72">
      <pivotArea type="all" dataOnly="0" outline="0" fieldPosition="0"/>
    </format>
    <format dxfId="71">
      <pivotArea outline="0" collapsedLevelsAreSubtotals="1" fieldPosition="0"/>
    </format>
    <format dxfId="7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C3D11D-A7C5-4AE3-A45A-8FDD19652ECD}"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8:C9" firstHeaderRow="0" firstDataRow="1" firstDataCol="0"/>
  <pivotFields count="31">
    <pivotField compact="0" outline="0" showAll="0">
      <items count="25">
        <item m="1" x="14"/>
        <item x="0"/>
        <item x="1"/>
        <item x="2"/>
        <item x="3"/>
        <item x="4"/>
        <item x="5"/>
        <item x="6"/>
        <item x="7"/>
        <item x="8"/>
        <item x="9"/>
        <item x="10"/>
        <item x="11"/>
        <item m="1" x="15"/>
        <item m="1" x="18"/>
        <item m="1" x="22"/>
        <item m="1" x="13"/>
        <item m="1" x="12"/>
        <item m="1" x="17"/>
        <item m="1" x="16"/>
        <item m="1" x="21"/>
        <item m="1" x="20"/>
        <item m="1" x="19"/>
        <item m="1" x="23"/>
        <item t="default"/>
      </items>
    </pivotField>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dataField="1" compact="0" outline="0" subtotalTop="0" dragToRow="0" dragToCol="0" dragToPage="0" showAll="0" defaultSubtotal="0"/>
    <pivotField compact="0" outline="0" subtotalTop="0" dragToRow="0" dragToCol="0" dragToPage="0" showAll="0" defaultSubtotal="0"/>
  </pivotFields>
  <rowItems count="1">
    <i/>
  </rowItems>
  <colFields count="1">
    <field x="-2"/>
  </colFields>
  <colItems count="3">
    <i>
      <x/>
    </i>
    <i i="1">
      <x v="1"/>
    </i>
    <i i="2">
      <x v="2"/>
    </i>
  </colItems>
  <dataFields count="3">
    <dataField name="Sum of Rate" fld="6" baseField="0" baseItem="1" numFmtId="164"/>
    <dataField name="Sum of Total Expenses" fld="23" baseField="0" baseItem="1" numFmtId="164"/>
    <dataField name="Sum of Balance" fld="29" baseField="0" baseItem="2" numFmtId="164"/>
  </dataFields>
  <formats count="4">
    <format dxfId="77">
      <pivotArea outline="0" collapsedLevelsAreSubtotals="1" fieldPosition="0"/>
    </format>
    <format dxfId="76">
      <pivotArea type="all" dataOnly="0" outline="0" fieldPosition="0"/>
    </format>
    <format dxfId="75">
      <pivotArea outline="0" collapsedLevelsAreSubtotals="1" fieldPosition="0"/>
    </format>
    <format dxfId="74">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E3B1C9C-D832-48F2-A996-B65A479DDE1A}"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104:I105" firstHeaderRow="0" firstDataRow="1" firstDataCol="0"/>
  <pivotFields count="31">
    <pivotField compact="0" outline="0" showAll="0">
      <items count="25">
        <item m="1" x="14"/>
        <item x="0"/>
        <item x="1"/>
        <item x="2"/>
        <item x="3"/>
        <item x="4"/>
        <item x="5"/>
        <item x="6"/>
        <item x="7"/>
        <item x="8"/>
        <item x="9"/>
        <item x="10"/>
        <item x="11"/>
        <item m="1" x="15"/>
        <item m="1" x="18"/>
        <item m="1" x="22"/>
        <item m="1" x="13"/>
        <item m="1" x="12"/>
        <item m="1" x="17"/>
        <item m="1" x="16"/>
        <item m="1" x="21"/>
        <item m="1" x="20"/>
        <item m="1" x="19"/>
        <item m="1" x="23"/>
        <item t="default"/>
      </items>
    </pivotField>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26">
        <item x="14"/>
        <item x="19"/>
        <item x="17"/>
        <item x="22"/>
        <item x="20"/>
        <item x="24"/>
        <item x="1"/>
        <item x="2"/>
        <item x="3"/>
        <item x="4"/>
        <item x="9"/>
        <item x="10"/>
        <item x="18"/>
        <item x="15"/>
        <item x="5"/>
        <item x="6"/>
        <item x="7"/>
        <item x="8"/>
        <item x="0"/>
        <item x="13"/>
        <item x="21"/>
        <item x="11"/>
        <item x="12"/>
        <item x="23"/>
        <item x="16"/>
        <item t="default"/>
      </items>
    </pivotField>
    <pivotField compact="0" outline="0" showAll="0"/>
    <pivotField compact="0" outline="0" showAll="0"/>
    <pivotField compact="0" outline="0" showAll="0"/>
    <pivotField compact="0" outline="0" showAll="0"/>
    <pivotField compact="0" outline="0" showAll="0"/>
    <pivotField dataField="1" compact="0" outline="0" subtotalTop="0" dragToRow="0" dragToCol="0" dragToPage="0" showAll="0" defaultSubtotal="0"/>
    <pivotField compact="0" outline="0" subtotalTop="0" dragToRow="0" dragToCol="0" dragToPage="0" showAll="0" defaultSubtotal="0"/>
  </pivotFields>
  <rowItems count="1">
    <i/>
  </rowItems>
  <colFields count="1">
    <field x="-2"/>
  </colFields>
  <colItems count="3">
    <i>
      <x/>
    </i>
    <i i="1">
      <x v="1"/>
    </i>
    <i i="2">
      <x v="2"/>
    </i>
  </colItems>
  <dataFields count="3">
    <dataField name="Sum of Rate" fld="6" baseField="0" baseItem="1" numFmtId="164"/>
    <dataField name="Sum of Total Expenses" fld="23" baseField="0" baseItem="1" numFmtId="164"/>
    <dataField name="Sum of Balance" fld="29" baseField="0" baseItem="2" numFmtId="164"/>
  </dataFields>
  <formats count="4">
    <format dxfId="81">
      <pivotArea outline="0" collapsedLevelsAreSubtotals="1" fieldPosition="0"/>
    </format>
    <format dxfId="80">
      <pivotArea type="all" dataOnly="0" outline="0" fieldPosition="0"/>
    </format>
    <format dxfId="79">
      <pivotArea outline="0" collapsedLevelsAreSubtotals="1" fieldPosition="0"/>
    </format>
    <format dxfId="7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0E2AA1DB-3801-411E-A5BA-17EB028BFDD6}" autoFormatId="16" applyNumberFormats="0" applyBorderFormats="0" applyFontFormats="0" applyPatternFormats="0" applyAlignmentFormats="0" applyWidthHeightFormats="0">
  <queryTableRefresh nextId="33">
    <queryTableFields count="29">
      <queryTableField id="1" name="Month" tableColumnId="1"/>
      <queryTableField id="2" name="Day" tableColumnId="2"/>
      <queryTableField id="3" name="Load" tableColumnId="3"/>
      <queryTableField id="4" name="Tonnage" tableColumnId="4"/>
      <queryTableField id="5" name="Customer Type" tableColumnId="5"/>
      <queryTableField id="6" name="Destination" tableColumnId="6"/>
      <queryTableField id="7" name="Rate" tableColumnId="7"/>
      <queryTableField id="8" name="Truck" tableColumnId="8"/>
      <queryTableField id="9" name="Insurance" tableColumnId="9"/>
      <queryTableField id="10" name="Fuel" tableColumnId="10"/>
      <queryTableField id="11" name="Diesel Exhaust Fluid" tableColumnId="11"/>
      <queryTableField id="12" name="Advance" tableColumnId="12"/>
      <queryTableField id="13" name="Warehouse" tableColumnId="13"/>
      <queryTableField id="14" name="Repairs" tableColumnId="14"/>
      <queryTableField id="15" name="Tolls" tableColumnId="15"/>
      <queryTableField id="16" name="Fundings" tableColumnId="16"/>
      <queryTableField id="17" name="Driver Name" tableColumnId="17"/>
      <queryTableField id="18" name="Odometer" tableColumnId="18"/>
      <queryTableField id="19" name="Miles" tableColumnId="19"/>
      <queryTableField id="20" name="Rate Per Miles" tableColumnId="20"/>
      <queryTableField id="21" name="Extra Stops" tableColumnId="21"/>
      <queryTableField id="22" name="Extra Pay" tableColumnId="22"/>
      <queryTableField id="23" name="Costs Driver Paid" tableColumnId="23"/>
      <queryTableField id="24" name="Total Expenses" tableColumnId="24"/>
      <queryTableField id="25" name="First condition type" tableColumnId="25"/>
      <queryTableField id="26" name="Shipment cost sub-items" tableColumnId="26"/>
      <queryTableField id="27" name="ERE Stage" tableColumnId="27"/>
      <queryTableField id="28" name="Basic freight" tableColumnId="28"/>
      <queryTableField id="29" name="Final Amount"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B325437-2265-4812-9BEC-E56C8276D305}" sourceName="Month">
  <pivotTables>
    <pivotTable tabId="5" name="PivotTable2"/>
    <pivotTable tabId="5" name="PivotTable4"/>
    <pivotTable tabId="5" name="PivotTable5"/>
    <pivotTable tabId="5" name="PivotTable7"/>
    <pivotTable tabId="5" name="PivotTable1"/>
    <pivotTable tabId="5" name="PivotTable8"/>
    <pivotTable tabId="5" name="PivotTable11"/>
    <pivotTable tabId="5" name="PivotTable10"/>
    <pivotTable tabId="5" name="PivotTable13"/>
    <pivotTable tabId="5" name="PivotTable9"/>
    <pivotTable tabId="5" name="Tabela przestawna1"/>
  </pivotTables>
  <data>
    <tabular pivotCacheId="636749332">
      <items count="24">
        <i x="0" s="1"/>
        <i x="1" s="1"/>
        <i x="2" s="1"/>
        <i x="3" s="1"/>
        <i x="4" s="1"/>
        <i x="5" s="1"/>
        <i x="6" s="1"/>
        <i x="7" s="1"/>
        <i x="8" s="1"/>
        <i x="9" s="1"/>
        <i x="10" s="1"/>
        <i x="11" s="1"/>
        <i x="14" s="1" nd="1"/>
        <i x="15" s="1" nd="1"/>
        <i x="18" s="1" nd="1"/>
        <i x="22" s="1" nd="1"/>
        <i x="13" s="1" nd="1"/>
        <i x="12" s="1" nd="1"/>
        <i x="17" s="1" nd="1"/>
        <i x="16" s="1" nd="1"/>
        <i x="21" s="1" nd="1"/>
        <i x="20" s="1" nd="1"/>
        <i x="19" s="1" nd="1"/>
        <i x="2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Name" xr10:uid="{F2275F34-9A12-442B-B5C2-1A275F8BDB44}" sourceName="Driver Name">
  <pivotTables>
    <pivotTable tabId="5" name="PivotTable1"/>
    <pivotTable tabId="5" name="PivotTable7"/>
    <pivotTable tabId="5" name="PivotTable6"/>
    <pivotTable tabId="5" name="PivotTable8"/>
    <pivotTable tabId="5" name="PivotTable11"/>
    <pivotTable tabId="5" name="PivotTable2"/>
    <pivotTable tabId="5" name="PivotTable3"/>
    <pivotTable tabId="5" name="PivotTable4"/>
    <pivotTable tabId="5" name="PivotTable5"/>
    <pivotTable tabId="5" name="PivotTable10"/>
    <pivotTable tabId="5" name="PivotTable13"/>
    <pivotTable tabId="5" name="PivotTable9"/>
    <pivotTable tabId="5" name="Tabela przestawna1"/>
  </pivotTables>
  <data>
    <tabular pivotCacheId="636749332">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d" xr10:uid="{3B0BC8E4-DB37-4F5D-8298-D6961BA990C3}" sourceName="Load">
  <pivotTables>
    <pivotTable tabId="5" name="PivotTable8"/>
    <pivotTable tabId="5" name="PivotTable1"/>
    <pivotTable tabId="5" name="PivotTable11"/>
    <pivotTable tabId="5" name="PivotTable2"/>
    <pivotTable tabId="5" name="PivotTable3"/>
    <pivotTable tabId="5" name="PivotTable4"/>
    <pivotTable tabId="5" name="PivotTable5"/>
    <pivotTable tabId="5" name="PivotTable7"/>
    <pivotTable tabId="5" name="PivotTable10"/>
    <pivotTable tabId="5" name="PivotTable13"/>
    <pivotTable tabId="5" name="PivotTable9"/>
    <pivotTable tabId="5" name="Tabela przestawna1"/>
  </pivotTables>
  <data>
    <tabular pivotCacheId="63674933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29B523C9-9C0D-4091-9A09-FC8C52D43AC4}" cache="Slicer_Month" caption="Month" columnCount="12" style="Slicer Style 1" rowHeight="257175"/>
  <slicer name="Driver Name 1" xr10:uid="{03CF030F-F542-4FF7-80C3-1209599A2A74}" cache="Slicer_Driver_Name" caption="Driver Name" style="Slicer Style 1" rowHeight="257175"/>
  <slicer name="Load 1" xr10:uid="{B064AAD7-1730-4781-92B1-9D45C200CB55}" cache="Slicer_Load" caption="Load" columnCount="3"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E351E78-E379-45E0-ABE6-B517979E13A9}" cache="Slicer_Month" caption="Month" columnCount="12" showCaption="0" rowHeight="257175"/>
  <slicer name="Month 2" xr10:uid="{22A4C34B-0528-43F1-BA3B-AC2B325F12C0}" cache="Slicer_Month" caption="Month" columnCount="12" style="Slicer Style 1" rowHeight="257175"/>
  <slicer name="Driver Name" xr10:uid="{B1F659AC-994B-40CB-B8FA-E51977BB9040}" cache="Slicer_Driver_Name" caption="Driver Name" rowHeight="257175"/>
  <slicer name="Driver Name 2" xr10:uid="{BE8F3C01-086A-436A-A8E6-15051695A311}" cache="Slicer_Driver_Name" caption="Driver Name" rowHeight="257175"/>
  <slicer name="Load" xr10:uid="{42C436F2-6A8E-43EA-96C1-E9A218802C79}" cache="Slicer_Load" caption="Load" columnCount="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6F6F41-4A63-4276-9EDB-85295AD133C8}" name="Data" displayName="Data" ref="A1:AC62" tableType="queryTable" totalsRowShown="0" dataDxfId="111">
  <autoFilter ref="A1:AC62" xr:uid="{6F6F6F41-4A63-4276-9EDB-85295AD133C8}"/>
  <tableColumns count="29">
    <tableColumn id="1" xr3:uid="{8395E13B-C5DA-4990-A02D-56662948C497}" uniqueName="1" name="Month" queryTableFieldId="1" dataDxfId="110"/>
    <tableColumn id="2" xr3:uid="{E47686FE-29A7-499D-83DE-A8606D20370F}" uniqueName="2" name="Day" queryTableFieldId="2" dataDxfId="109"/>
    <tableColumn id="3" xr3:uid="{260E5F9B-45DF-4288-944C-FDC6DC0A08E1}" uniqueName="3" name="Load" queryTableFieldId="3" dataDxfId="108"/>
    <tableColumn id="4" xr3:uid="{E05A8A2F-468C-435E-901E-7A5E39B6D344}" uniqueName="4" name="Tonnage" queryTableFieldId="4" dataDxfId="107"/>
    <tableColumn id="5" xr3:uid="{293067C4-2FC2-4DD4-AB45-CAC9737EF2BE}" uniqueName="5" name="Customer Type" queryTableFieldId="5" dataDxfId="106"/>
    <tableColumn id="6" xr3:uid="{B30AF9D0-BCD5-4DCB-B970-6699B4E31143}" uniqueName="6" name="Destination" queryTableFieldId="6" dataDxfId="105"/>
    <tableColumn id="7" xr3:uid="{F7BF3676-42E0-460E-9716-5C0F87F1A847}" uniqueName="7" name="Rate" queryTableFieldId="7" dataDxfId="104"/>
    <tableColumn id="8" xr3:uid="{F86C03A3-F6BF-40AD-B831-51C2DA4AE4FE}" uniqueName="8" name="Truck" queryTableFieldId="8" dataDxfId="103"/>
    <tableColumn id="9" xr3:uid="{51467674-E04D-4703-9807-510B8971D0E7}" uniqueName="9" name="Insurance" queryTableFieldId="9" dataDxfId="102"/>
    <tableColumn id="10" xr3:uid="{1DAF6458-750B-42C7-B0B4-BBA3456D8348}" uniqueName="10" name="Fuel" queryTableFieldId="10" dataDxfId="101"/>
    <tableColumn id="11" xr3:uid="{294E0289-7568-40A7-BD92-E0108E16FC71}" uniqueName="11" name="Diesel Exhaust Fluid" queryTableFieldId="11" dataDxfId="100"/>
    <tableColumn id="12" xr3:uid="{CDB812A5-08B3-4536-A69F-6CE1A510CBE8}" uniqueName="12" name="Advance" queryTableFieldId="12" dataDxfId="99"/>
    <tableColumn id="13" xr3:uid="{0C6C27DF-9F0D-4961-B8EF-CC5D2DF2125E}" uniqueName="13" name="Warehouse" queryTableFieldId="13" dataDxfId="98"/>
    <tableColumn id="14" xr3:uid="{F179F8B9-264A-4B47-8AAB-AFCC1ABA2390}" uniqueName="14" name="Repairs" queryTableFieldId="14" dataDxfId="97"/>
    <tableColumn id="15" xr3:uid="{EB04EB3C-D138-4AD8-AE99-3083135C9C97}" uniqueName="15" name="Tolls" queryTableFieldId="15" dataDxfId="96"/>
    <tableColumn id="16" xr3:uid="{0977EF94-465E-4858-AD6B-5E5924A49CF2}" uniqueName="16" name="Fundings" queryTableFieldId="16" dataDxfId="95"/>
    <tableColumn id="17" xr3:uid="{CF93DCAE-0548-4108-A942-8BFE3DECD98D}" uniqueName="17" name="Driver Name" queryTableFieldId="17" dataDxfId="94"/>
    <tableColumn id="18" xr3:uid="{DFF98701-0632-4976-8E38-4214BC5AEB18}" uniqueName="18" name="Odometer" queryTableFieldId="18" dataDxfId="93"/>
    <tableColumn id="19" xr3:uid="{5C618898-DA4A-4A33-BCFD-424801CAC33D}" uniqueName="19" name="Miles" queryTableFieldId="19" dataDxfId="92"/>
    <tableColumn id="20" xr3:uid="{A90C4B6D-6A6D-4F8C-B055-8124DBC74AA1}" uniqueName="20" name="Rate Per Miles" queryTableFieldId="20" dataDxfId="91"/>
    <tableColumn id="21" xr3:uid="{C53D7EAB-5984-4560-9CF3-E5BCA166EF8C}" uniqueName="21" name="Extra Stops" queryTableFieldId="21" dataDxfId="90"/>
    <tableColumn id="22" xr3:uid="{7CFDA3B1-F300-4662-A6D9-B9B7BDC60633}" uniqueName="22" name="Extra Pay" queryTableFieldId="22" dataDxfId="89"/>
    <tableColumn id="23" xr3:uid="{A94CEA09-2282-4533-AA79-D8626BDD5A50}" uniqueName="23" name="Costs Driver Paid" queryTableFieldId="23" dataDxfId="88"/>
    <tableColumn id="24" xr3:uid="{E4B03A17-0B12-4763-AE4B-DCDB2C8E6A58}" uniqueName="24" name="Total Expenses" queryTableFieldId="24" dataDxfId="87"/>
    <tableColumn id="25" xr3:uid="{25D875EA-FB53-4CA8-8841-EA708A4E8080}" uniqueName="25" name="First condition type" queryTableFieldId="25" dataDxfId="86"/>
    <tableColumn id="26" xr3:uid="{9D8BCF9D-DCFD-459B-A36F-2A4488A27DFE}" uniqueName="26" name="Shipment cost sub-items" queryTableFieldId="26" dataDxfId="85"/>
    <tableColumn id="27" xr3:uid="{E6AF9CD6-AFB8-4C20-814B-DEF91A1492D9}" uniqueName="27" name="ERE Stage" queryTableFieldId="27" dataDxfId="84"/>
    <tableColumn id="28" xr3:uid="{DDDBF593-55C8-48F0-B3E0-C14F8A663307}" uniqueName="28" name="Basic freight" queryTableFieldId="28" dataDxfId="83"/>
    <tableColumn id="29" xr3:uid="{207F0125-8C94-41FF-A949-D59CE7646167}" uniqueName="29" name="Final Amount" queryTableFieldId="29" dataDxfId="82"/>
  </tableColumns>
  <tableStyleInfo name="TableStyleLight11"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F4CB8-DE12-4615-8B9F-FD415EEB315F}">
  <sheetPr codeName="Arkusz1"/>
  <dimension ref="A1"/>
  <sheetViews>
    <sheetView showGridLines="0" showRowColHeaders="0" tabSelected="1" zoomScaleNormal="100" workbookViewId="0">
      <selection activeCell="AG37" sqref="AG3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D2C88-6A47-4DAB-BD37-F3C95F9AEE8A}">
  <sheetPr codeName="Arkusz2"/>
  <dimension ref="A1:AC94"/>
  <sheetViews>
    <sheetView topLeftCell="K49" zoomScaleNormal="100" workbookViewId="0">
      <selection activeCell="U64" sqref="U64"/>
    </sheetView>
  </sheetViews>
  <sheetFormatPr defaultRowHeight="15" x14ac:dyDescent="0.25"/>
  <cols>
    <col min="1" max="1" width="10.28515625" style="6" bestFit="1" customWidth="1"/>
    <col min="2" max="2" width="7" bestFit="1" customWidth="1"/>
    <col min="3" max="3" width="7.85546875" style="1" bestFit="1" customWidth="1"/>
    <col min="4" max="4" width="10.85546875" style="5" bestFit="1" customWidth="1"/>
    <col min="5" max="5" width="18.42578125" bestFit="1" customWidth="1"/>
    <col min="6" max="6" width="17.28515625" style="7" bestFit="1" customWidth="1"/>
    <col min="7" max="7" width="11" bestFit="1" customWidth="1"/>
    <col min="8" max="8" width="18.5703125" style="8" bestFit="1" customWidth="1"/>
    <col min="9" max="9" width="12.140625" style="11" bestFit="1" customWidth="1"/>
    <col min="10" max="10" width="7.42578125" style="11" bestFit="1" customWidth="1"/>
    <col min="11" max="11" width="21.85546875" style="11" bestFit="1" customWidth="1"/>
    <col min="12" max="12" width="10.85546875" style="11" bestFit="1" customWidth="1"/>
    <col min="13" max="13" width="13.5703125" style="11" bestFit="1" customWidth="1"/>
    <col min="14" max="14" width="10.28515625" style="11" bestFit="1" customWidth="1"/>
    <col min="15" max="15" width="7.7109375" style="11" bestFit="1" customWidth="1"/>
    <col min="16" max="16" width="11.42578125" style="11" bestFit="1" customWidth="1"/>
    <col min="17" max="17" width="18.85546875" style="1" bestFit="1" customWidth="1"/>
    <col min="18" max="18" width="12.42578125" bestFit="1" customWidth="1"/>
    <col min="19" max="19" width="8.42578125" style="1" bestFit="1" customWidth="1"/>
    <col min="20" max="20" width="16.28515625" bestFit="1" customWidth="1"/>
    <col min="21" max="21" width="13.42578125" bestFit="1" customWidth="1"/>
    <col min="22" max="22" width="11.42578125" bestFit="1" customWidth="1"/>
    <col min="23" max="23" width="19" style="1" bestFit="1" customWidth="1"/>
    <col min="24" max="24" width="17" style="1" bestFit="1" customWidth="1"/>
    <col min="25" max="25" width="21" style="1" bestFit="1" customWidth="1"/>
    <col min="26" max="26" width="26.28515625" style="1" bestFit="1" customWidth="1"/>
    <col min="27" max="27" width="12.28515625" style="1" bestFit="1" customWidth="1"/>
    <col min="28" max="28" width="14.42578125" style="1" bestFit="1" customWidth="1"/>
    <col min="29" max="29" width="15" bestFit="1" customWidth="1"/>
  </cols>
  <sheetData>
    <row r="1" spans="1:29" x14ac:dyDescent="0.25">
      <c r="A1" s="6" t="s">
        <v>0</v>
      </c>
      <c r="B1" t="s">
        <v>1</v>
      </c>
      <c r="C1" t="s">
        <v>2</v>
      </c>
      <c r="D1" s="1" t="s">
        <v>3</v>
      </c>
      <c r="E1" t="s">
        <v>4</v>
      </c>
      <c r="F1" t="s">
        <v>5</v>
      </c>
      <c r="G1" s="9" t="s">
        <v>6</v>
      </c>
      <c r="H1" t="s">
        <v>7</v>
      </c>
      <c r="I1" s="8" t="s">
        <v>8</v>
      </c>
      <c r="J1" s="8" t="s">
        <v>9</v>
      </c>
      <c r="K1" s="8" t="s">
        <v>10</v>
      </c>
      <c r="L1" s="8" t="s">
        <v>11</v>
      </c>
      <c r="M1" s="8" t="s">
        <v>12</v>
      </c>
      <c r="N1" s="8" t="s">
        <v>13</v>
      </c>
      <c r="O1" s="8" t="s">
        <v>14</v>
      </c>
      <c r="P1" s="8" t="s">
        <v>15</v>
      </c>
      <c r="Q1" t="s">
        <v>16</v>
      </c>
      <c r="R1" s="1" t="s">
        <v>17</v>
      </c>
      <c r="S1" t="s">
        <v>18</v>
      </c>
      <c r="T1" s="1" t="s">
        <v>19</v>
      </c>
      <c r="U1" t="s">
        <v>20</v>
      </c>
      <c r="V1" t="s">
        <v>21</v>
      </c>
      <c r="W1" t="s">
        <v>22</v>
      </c>
      <c r="X1" s="1" t="s">
        <v>23</v>
      </c>
      <c r="Y1" s="1" t="s">
        <v>24</v>
      </c>
      <c r="Z1" s="1" t="s">
        <v>25</v>
      </c>
      <c r="AA1" s="1" t="s">
        <v>26</v>
      </c>
      <c r="AB1" s="1" t="s">
        <v>27</v>
      </c>
      <c r="AC1" s="1" t="s">
        <v>28</v>
      </c>
    </row>
    <row r="2" spans="1:29" x14ac:dyDescent="0.25">
      <c r="A2" s="69" t="s">
        <v>68</v>
      </c>
      <c r="B2" s="70">
        <v>1</v>
      </c>
      <c r="C2" s="70" t="s">
        <v>29</v>
      </c>
      <c r="D2" s="71">
        <v>11</v>
      </c>
      <c r="E2" s="70" t="s">
        <v>30</v>
      </c>
      <c r="F2" s="70" t="s">
        <v>39</v>
      </c>
      <c r="G2" s="72">
        <v>5556</v>
      </c>
      <c r="H2" s="70" t="s">
        <v>31</v>
      </c>
      <c r="I2" s="70">
        <v>132</v>
      </c>
      <c r="J2" s="70">
        <v>400</v>
      </c>
      <c r="K2" s="70">
        <v>50</v>
      </c>
      <c r="L2" s="70">
        <v>250</v>
      </c>
      <c r="M2" s="70">
        <v>120</v>
      </c>
      <c r="N2" s="70">
        <v>65</v>
      </c>
      <c r="O2" s="70">
        <v>134</v>
      </c>
      <c r="P2" s="70">
        <v>6</v>
      </c>
      <c r="Q2" s="70" t="s">
        <v>32</v>
      </c>
      <c r="R2" s="71">
        <v>295.41000000000003</v>
      </c>
      <c r="S2" s="70">
        <v>343</v>
      </c>
      <c r="T2" s="71">
        <v>240.1</v>
      </c>
      <c r="U2" s="70">
        <v>100</v>
      </c>
      <c r="V2" s="70">
        <v>22</v>
      </c>
      <c r="W2" s="70">
        <v>54</v>
      </c>
      <c r="X2" s="71">
        <v>1573.1</v>
      </c>
      <c r="Y2" s="71">
        <v>722.28</v>
      </c>
      <c r="Z2" s="71">
        <v>1111.2</v>
      </c>
      <c r="AA2" s="71">
        <v>944.5200000000001</v>
      </c>
      <c r="AB2" s="71">
        <v>1389</v>
      </c>
      <c r="AC2" s="71">
        <v>1666.8</v>
      </c>
    </row>
    <row r="3" spans="1:29" x14ac:dyDescent="0.25">
      <c r="A3" s="69" t="s">
        <v>68</v>
      </c>
      <c r="B3" s="70">
        <v>3</v>
      </c>
      <c r="C3" s="70" t="s">
        <v>29</v>
      </c>
      <c r="D3" s="71">
        <v>21.3</v>
      </c>
      <c r="E3" s="70" t="s">
        <v>30</v>
      </c>
      <c r="F3" s="70" t="s">
        <v>33</v>
      </c>
      <c r="G3" s="72">
        <v>5556</v>
      </c>
      <c r="H3" s="70" t="s">
        <v>31</v>
      </c>
      <c r="I3" s="70">
        <v>132</v>
      </c>
      <c r="J3" s="70">
        <v>400</v>
      </c>
      <c r="K3" s="70">
        <v>50</v>
      </c>
      <c r="L3" s="70">
        <v>250</v>
      </c>
      <c r="M3" s="70">
        <v>120</v>
      </c>
      <c r="N3" s="70">
        <v>65</v>
      </c>
      <c r="O3" s="70">
        <v>134</v>
      </c>
      <c r="P3" s="70">
        <v>6</v>
      </c>
      <c r="Q3" s="70" t="s">
        <v>34</v>
      </c>
      <c r="R3" s="71">
        <v>295.41000000000003</v>
      </c>
      <c r="S3" s="70">
        <v>343</v>
      </c>
      <c r="T3" s="71">
        <v>240.1</v>
      </c>
      <c r="U3" s="70">
        <v>100</v>
      </c>
      <c r="V3" s="70">
        <v>22</v>
      </c>
      <c r="W3" s="70">
        <v>54</v>
      </c>
      <c r="X3" s="71">
        <v>1573.1</v>
      </c>
      <c r="Y3" s="71">
        <v>722.28</v>
      </c>
      <c r="Z3" s="71">
        <v>1111.2</v>
      </c>
      <c r="AA3" s="71">
        <v>944.5200000000001</v>
      </c>
      <c r="AB3" s="71">
        <v>1389</v>
      </c>
      <c r="AC3" s="71">
        <v>1666.8</v>
      </c>
    </row>
    <row r="4" spans="1:29" x14ac:dyDescent="0.25">
      <c r="A4" s="69" t="s">
        <v>68</v>
      </c>
      <c r="B4" s="70">
        <v>13</v>
      </c>
      <c r="C4" s="70" t="s">
        <v>29</v>
      </c>
      <c r="D4" s="71">
        <v>22</v>
      </c>
      <c r="E4" s="70" t="s">
        <v>30</v>
      </c>
      <c r="F4" s="70" t="s">
        <v>35</v>
      </c>
      <c r="G4" s="72">
        <v>5556</v>
      </c>
      <c r="H4" s="70" t="s">
        <v>31</v>
      </c>
      <c r="I4" s="70">
        <v>132</v>
      </c>
      <c r="J4" s="70">
        <v>400</v>
      </c>
      <c r="K4" s="70">
        <v>50</v>
      </c>
      <c r="L4" s="70">
        <v>250</v>
      </c>
      <c r="M4" s="70">
        <v>120</v>
      </c>
      <c r="N4" s="70">
        <v>65</v>
      </c>
      <c r="O4" s="70">
        <v>134</v>
      </c>
      <c r="P4" s="70">
        <v>6</v>
      </c>
      <c r="Q4" s="70" t="s">
        <v>36</v>
      </c>
      <c r="R4" s="71">
        <v>295.41000000000003</v>
      </c>
      <c r="S4" s="70">
        <v>343</v>
      </c>
      <c r="T4" s="71">
        <v>240.1</v>
      </c>
      <c r="U4" s="70">
        <v>100</v>
      </c>
      <c r="V4" s="70">
        <v>22</v>
      </c>
      <c r="W4" s="70">
        <v>54</v>
      </c>
      <c r="X4" s="71">
        <v>1573.1</v>
      </c>
      <c r="Y4" s="71">
        <v>722.28</v>
      </c>
      <c r="Z4" s="71">
        <v>1111.2</v>
      </c>
      <c r="AA4" s="71">
        <v>944.5200000000001</v>
      </c>
      <c r="AB4" s="71">
        <v>1389</v>
      </c>
      <c r="AC4" s="71">
        <v>1666.8</v>
      </c>
    </row>
    <row r="5" spans="1:29" x14ac:dyDescent="0.25">
      <c r="A5" s="69" t="s">
        <v>69</v>
      </c>
      <c r="B5" s="70">
        <v>4</v>
      </c>
      <c r="C5" s="70" t="s">
        <v>37</v>
      </c>
      <c r="D5" s="71">
        <v>14.5</v>
      </c>
      <c r="E5" s="70" t="s">
        <v>30</v>
      </c>
      <c r="F5" s="70" t="s">
        <v>33</v>
      </c>
      <c r="G5" s="72">
        <v>4567</v>
      </c>
      <c r="H5" s="70" t="s">
        <v>31</v>
      </c>
      <c r="I5" s="70">
        <v>132</v>
      </c>
      <c r="J5" s="70">
        <v>333</v>
      </c>
      <c r="K5" s="70">
        <v>51</v>
      </c>
      <c r="L5" s="70">
        <v>250</v>
      </c>
      <c r="M5" s="70">
        <v>134</v>
      </c>
      <c r="N5" s="70">
        <v>65</v>
      </c>
      <c r="O5" s="70">
        <v>134</v>
      </c>
      <c r="P5" s="70">
        <v>6</v>
      </c>
      <c r="Q5" s="70" t="s">
        <v>32</v>
      </c>
      <c r="R5" s="71">
        <v>295.41000000000003</v>
      </c>
      <c r="S5" s="70">
        <v>354</v>
      </c>
      <c r="T5" s="71">
        <v>247.79999999999998</v>
      </c>
      <c r="U5" s="70">
        <v>100</v>
      </c>
      <c r="V5" s="70">
        <v>23</v>
      </c>
      <c r="W5" s="70">
        <v>55</v>
      </c>
      <c r="X5" s="71">
        <v>1530.8</v>
      </c>
      <c r="Y5" s="71">
        <v>593.71</v>
      </c>
      <c r="Z5" s="71">
        <v>913.40000000000009</v>
      </c>
      <c r="AA5" s="71">
        <v>776.3900000000001</v>
      </c>
      <c r="AB5" s="71">
        <v>1141.75</v>
      </c>
      <c r="AC5" s="71">
        <v>1370.1</v>
      </c>
    </row>
    <row r="6" spans="1:29" x14ac:dyDescent="0.25">
      <c r="A6" s="69" t="s">
        <v>69</v>
      </c>
      <c r="B6" s="70">
        <v>5</v>
      </c>
      <c r="C6" s="70" t="s">
        <v>37</v>
      </c>
      <c r="D6" s="71">
        <v>18</v>
      </c>
      <c r="E6" s="70" t="s">
        <v>30</v>
      </c>
      <c r="F6" s="70" t="s">
        <v>35</v>
      </c>
      <c r="G6" s="72">
        <v>4567</v>
      </c>
      <c r="H6" s="70" t="s">
        <v>31</v>
      </c>
      <c r="I6" s="70">
        <v>132</v>
      </c>
      <c r="J6" s="70">
        <v>333</v>
      </c>
      <c r="K6" s="70">
        <v>52</v>
      </c>
      <c r="L6" s="70">
        <v>250</v>
      </c>
      <c r="M6" s="70">
        <v>134</v>
      </c>
      <c r="N6" s="70">
        <v>65</v>
      </c>
      <c r="O6" s="70">
        <v>134</v>
      </c>
      <c r="P6" s="70">
        <v>6</v>
      </c>
      <c r="Q6" s="70" t="s">
        <v>34</v>
      </c>
      <c r="R6" s="71">
        <v>295.41000000000003</v>
      </c>
      <c r="S6" s="70">
        <v>354</v>
      </c>
      <c r="T6" s="71">
        <v>247.79999999999998</v>
      </c>
      <c r="U6" s="70">
        <v>100</v>
      </c>
      <c r="V6" s="70">
        <v>23</v>
      </c>
      <c r="W6" s="70">
        <v>55</v>
      </c>
      <c r="X6" s="71">
        <v>1531.8</v>
      </c>
      <c r="Y6" s="71">
        <v>593.71</v>
      </c>
      <c r="Z6" s="71">
        <v>913.40000000000009</v>
      </c>
      <c r="AA6" s="71">
        <v>776.3900000000001</v>
      </c>
      <c r="AB6" s="71">
        <v>1141.75</v>
      </c>
      <c r="AC6" s="71">
        <v>1370.1</v>
      </c>
    </row>
    <row r="7" spans="1:29" x14ac:dyDescent="0.25">
      <c r="A7" s="69" t="s">
        <v>69</v>
      </c>
      <c r="B7" s="70">
        <v>6</v>
      </c>
      <c r="C7" s="70" t="s">
        <v>37</v>
      </c>
      <c r="D7" s="71">
        <v>19</v>
      </c>
      <c r="E7" s="70" t="s">
        <v>30</v>
      </c>
      <c r="F7" s="70" t="s">
        <v>38</v>
      </c>
      <c r="G7" s="72">
        <v>4567</v>
      </c>
      <c r="H7" s="70" t="s">
        <v>31</v>
      </c>
      <c r="I7" s="70">
        <v>132</v>
      </c>
      <c r="J7" s="70">
        <v>333</v>
      </c>
      <c r="K7" s="70">
        <v>53</v>
      </c>
      <c r="L7" s="70">
        <v>250</v>
      </c>
      <c r="M7" s="70">
        <v>134</v>
      </c>
      <c r="N7" s="70">
        <v>65</v>
      </c>
      <c r="O7" s="70">
        <v>134</v>
      </c>
      <c r="P7" s="70">
        <v>6</v>
      </c>
      <c r="Q7" s="70" t="s">
        <v>36</v>
      </c>
      <c r="R7" s="71">
        <v>295.41000000000003</v>
      </c>
      <c r="S7" s="70">
        <v>354</v>
      </c>
      <c r="T7" s="71">
        <v>247.79999999999998</v>
      </c>
      <c r="U7" s="70">
        <v>100</v>
      </c>
      <c r="V7" s="70">
        <v>23</v>
      </c>
      <c r="W7" s="70">
        <v>55</v>
      </c>
      <c r="X7" s="71">
        <v>1532.8</v>
      </c>
      <c r="Y7" s="71">
        <v>593.71</v>
      </c>
      <c r="Z7" s="71">
        <v>913.40000000000009</v>
      </c>
      <c r="AA7" s="71">
        <v>776.3900000000001</v>
      </c>
      <c r="AB7" s="71">
        <v>1141.75</v>
      </c>
      <c r="AC7" s="71">
        <v>1370.1</v>
      </c>
    </row>
    <row r="8" spans="1:29" x14ac:dyDescent="0.25">
      <c r="A8" s="69" t="s">
        <v>69</v>
      </c>
      <c r="B8" s="70">
        <v>14</v>
      </c>
      <c r="C8" s="70" t="s">
        <v>37</v>
      </c>
      <c r="D8" s="71">
        <v>20</v>
      </c>
      <c r="E8" s="70" t="s">
        <v>30</v>
      </c>
      <c r="F8" s="70" t="s">
        <v>39</v>
      </c>
      <c r="G8" s="72">
        <v>4567</v>
      </c>
      <c r="H8" s="70" t="s">
        <v>31</v>
      </c>
      <c r="I8" s="70">
        <v>132</v>
      </c>
      <c r="J8" s="70">
        <v>333</v>
      </c>
      <c r="K8" s="70">
        <v>54</v>
      </c>
      <c r="L8" s="70">
        <v>250</v>
      </c>
      <c r="M8" s="70">
        <v>134</v>
      </c>
      <c r="N8" s="70">
        <v>65</v>
      </c>
      <c r="O8" s="70">
        <v>134</v>
      </c>
      <c r="P8" s="70">
        <v>6</v>
      </c>
      <c r="Q8" s="70" t="s">
        <v>74</v>
      </c>
      <c r="R8" s="71">
        <v>295.41000000000003</v>
      </c>
      <c r="S8" s="70">
        <v>354</v>
      </c>
      <c r="T8" s="71">
        <v>247.79999999999998</v>
      </c>
      <c r="U8" s="70">
        <v>100</v>
      </c>
      <c r="V8" s="70">
        <v>23</v>
      </c>
      <c r="W8" s="70">
        <v>55</v>
      </c>
      <c r="X8" s="71">
        <v>1533.8</v>
      </c>
      <c r="Y8" s="71">
        <v>593.71</v>
      </c>
      <c r="Z8" s="71">
        <v>913.40000000000009</v>
      </c>
      <c r="AA8" s="71">
        <v>776.3900000000001</v>
      </c>
      <c r="AB8" s="71">
        <v>1141.75</v>
      </c>
      <c r="AC8" s="71">
        <v>1370.1</v>
      </c>
    </row>
    <row r="9" spans="1:29" x14ac:dyDescent="0.25">
      <c r="A9" s="69" t="s">
        <v>70</v>
      </c>
      <c r="B9" s="70">
        <v>2</v>
      </c>
      <c r="C9" s="70" t="s">
        <v>40</v>
      </c>
      <c r="D9" s="71">
        <v>21</v>
      </c>
      <c r="E9" s="70" t="s">
        <v>30</v>
      </c>
      <c r="F9" s="70" t="s">
        <v>35</v>
      </c>
      <c r="G9" s="72">
        <v>3458</v>
      </c>
      <c r="H9" s="70" t="s">
        <v>31</v>
      </c>
      <c r="I9" s="70">
        <v>132</v>
      </c>
      <c r="J9" s="70">
        <v>453</v>
      </c>
      <c r="K9" s="70">
        <v>55</v>
      </c>
      <c r="L9" s="70">
        <v>250</v>
      </c>
      <c r="M9" s="70">
        <v>121</v>
      </c>
      <c r="N9" s="70">
        <v>32</v>
      </c>
      <c r="O9" s="70">
        <v>56</v>
      </c>
      <c r="P9" s="70">
        <v>56</v>
      </c>
      <c r="Q9" s="70" t="s">
        <v>32</v>
      </c>
      <c r="R9" s="71">
        <v>295.41000000000003</v>
      </c>
      <c r="S9" s="70">
        <v>333</v>
      </c>
      <c r="T9" s="71">
        <v>233.1</v>
      </c>
      <c r="U9" s="70">
        <v>100</v>
      </c>
      <c r="V9" s="70">
        <v>24</v>
      </c>
      <c r="W9" s="70">
        <v>56</v>
      </c>
      <c r="X9" s="71">
        <v>1568.1</v>
      </c>
      <c r="Y9" s="71">
        <v>449.54</v>
      </c>
      <c r="Z9" s="71">
        <v>691.6</v>
      </c>
      <c r="AA9" s="71">
        <v>587.86</v>
      </c>
      <c r="AB9" s="71">
        <v>864.5</v>
      </c>
      <c r="AC9" s="71">
        <v>1037.3999999999999</v>
      </c>
    </row>
    <row r="10" spans="1:29" x14ac:dyDescent="0.25">
      <c r="A10" s="69" t="s">
        <v>70</v>
      </c>
      <c r="B10" s="70">
        <v>3</v>
      </c>
      <c r="C10" s="70" t="s">
        <v>40</v>
      </c>
      <c r="D10" s="71">
        <v>22</v>
      </c>
      <c r="E10" s="70" t="s">
        <v>41</v>
      </c>
      <c r="F10" s="70" t="s">
        <v>33</v>
      </c>
      <c r="G10" s="72">
        <v>3458</v>
      </c>
      <c r="H10" s="70" t="s">
        <v>31</v>
      </c>
      <c r="I10" s="70">
        <v>132</v>
      </c>
      <c r="J10" s="70">
        <v>453</v>
      </c>
      <c r="K10" s="70">
        <v>56</v>
      </c>
      <c r="L10" s="70">
        <v>250</v>
      </c>
      <c r="M10" s="70">
        <v>121</v>
      </c>
      <c r="N10" s="70">
        <v>32</v>
      </c>
      <c r="O10" s="70">
        <v>56</v>
      </c>
      <c r="P10" s="70">
        <v>56</v>
      </c>
      <c r="Q10" s="70" t="s">
        <v>34</v>
      </c>
      <c r="R10" s="71">
        <v>295.41000000000003</v>
      </c>
      <c r="S10" s="70">
        <v>333</v>
      </c>
      <c r="T10" s="71">
        <v>233.1</v>
      </c>
      <c r="U10" s="70">
        <v>100</v>
      </c>
      <c r="V10" s="70">
        <v>24</v>
      </c>
      <c r="W10" s="70">
        <v>56</v>
      </c>
      <c r="X10" s="71">
        <v>1569.1</v>
      </c>
      <c r="Y10" s="71">
        <v>449.54</v>
      </c>
      <c r="Z10" s="71">
        <v>691.6</v>
      </c>
      <c r="AA10" s="71">
        <v>587.86</v>
      </c>
      <c r="AB10" s="71">
        <v>864.5</v>
      </c>
      <c r="AC10" s="71">
        <v>1037.3999999999999</v>
      </c>
    </row>
    <row r="11" spans="1:29" x14ac:dyDescent="0.25">
      <c r="A11" s="69" t="s">
        <v>70</v>
      </c>
      <c r="B11" s="70">
        <v>7</v>
      </c>
      <c r="C11" s="70" t="s">
        <v>37</v>
      </c>
      <c r="D11" s="71">
        <v>22.7</v>
      </c>
      <c r="E11" s="70" t="s">
        <v>41</v>
      </c>
      <c r="F11" s="70" t="s">
        <v>35</v>
      </c>
      <c r="G11" s="72">
        <v>3458</v>
      </c>
      <c r="H11" s="70" t="s">
        <v>31</v>
      </c>
      <c r="I11" s="70">
        <v>132</v>
      </c>
      <c r="J11" s="70">
        <v>453</v>
      </c>
      <c r="K11" s="70">
        <v>57</v>
      </c>
      <c r="L11" s="70">
        <v>250</v>
      </c>
      <c r="M11" s="70">
        <v>121</v>
      </c>
      <c r="N11" s="70">
        <v>32</v>
      </c>
      <c r="O11" s="70">
        <v>56</v>
      </c>
      <c r="P11" s="70">
        <v>56</v>
      </c>
      <c r="Q11" s="70" t="s">
        <v>74</v>
      </c>
      <c r="R11" s="71">
        <v>295.41000000000003</v>
      </c>
      <c r="S11" s="70">
        <v>333</v>
      </c>
      <c r="T11" s="71">
        <v>233.1</v>
      </c>
      <c r="U11" s="70">
        <v>100</v>
      </c>
      <c r="V11" s="70">
        <v>24</v>
      </c>
      <c r="W11" s="70">
        <v>56</v>
      </c>
      <c r="X11" s="71">
        <v>1570.1</v>
      </c>
      <c r="Y11" s="71">
        <v>449.54</v>
      </c>
      <c r="Z11" s="71">
        <v>691.6</v>
      </c>
      <c r="AA11" s="71">
        <v>587.86</v>
      </c>
      <c r="AB11" s="71">
        <v>864.5</v>
      </c>
      <c r="AC11" s="71">
        <v>1037.3999999999999</v>
      </c>
    </row>
    <row r="12" spans="1:29" x14ac:dyDescent="0.25">
      <c r="A12" s="69" t="s">
        <v>70</v>
      </c>
      <c r="B12" s="70">
        <v>8</v>
      </c>
      <c r="C12" s="70" t="s">
        <v>40</v>
      </c>
      <c r="D12" s="71">
        <v>12</v>
      </c>
      <c r="E12" s="70" t="s">
        <v>30</v>
      </c>
      <c r="F12" s="70" t="s">
        <v>38</v>
      </c>
      <c r="G12" s="72">
        <v>3458</v>
      </c>
      <c r="H12" s="70" t="s">
        <v>31</v>
      </c>
      <c r="I12" s="70">
        <v>132</v>
      </c>
      <c r="J12" s="70">
        <v>453</v>
      </c>
      <c r="K12" s="70">
        <v>58</v>
      </c>
      <c r="L12" s="70">
        <v>250</v>
      </c>
      <c r="M12" s="70">
        <v>121</v>
      </c>
      <c r="N12" s="70">
        <v>32</v>
      </c>
      <c r="O12" s="70">
        <v>56</v>
      </c>
      <c r="P12" s="70">
        <v>56</v>
      </c>
      <c r="Q12" s="70" t="s">
        <v>74</v>
      </c>
      <c r="R12" s="71">
        <v>295.41000000000003</v>
      </c>
      <c r="S12" s="70">
        <v>333</v>
      </c>
      <c r="T12" s="71">
        <v>233.1</v>
      </c>
      <c r="U12" s="70">
        <v>100</v>
      </c>
      <c r="V12" s="70">
        <v>24</v>
      </c>
      <c r="W12" s="70">
        <v>56</v>
      </c>
      <c r="X12" s="71">
        <v>1571.1</v>
      </c>
      <c r="Y12" s="71">
        <v>449.54</v>
      </c>
      <c r="Z12" s="71">
        <v>691.6</v>
      </c>
      <c r="AA12" s="71">
        <v>587.86</v>
      </c>
      <c r="AB12" s="71">
        <v>864.5</v>
      </c>
      <c r="AC12" s="71">
        <v>1037.3999999999999</v>
      </c>
    </row>
    <row r="13" spans="1:29" x14ac:dyDescent="0.25">
      <c r="A13" s="69" t="s">
        <v>70</v>
      </c>
      <c r="B13" s="70">
        <v>9</v>
      </c>
      <c r="C13" s="70" t="s">
        <v>29</v>
      </c>
      <c r="D13" s="71">
        <v>13</v>
      </c>
      <c r="E13" s="70" t="s">
        <v>41</v>
      </c>
      <c r="F13" s="70" t="s">
        <v>42</v>
      </c>
      <c r="G13" s="72">
        <v>3458</v>
      </c>
      <c r="H13" s="70" t="s">
        <v>31</v>
      </c>
      <c r="I13" s="70">
        <v>132</v>
      </c>
      <c r="J13" s="70">
        <v>453</v>
      </c>
      <c r="K13" s="70">
        <v>59</v>
      </c>
      <c r="L13" s="70">
        <v>250</v>
      </c>
      <c r="M13" s="70">
        <v>121</v>
      </c>
      <c r="N13" s="70">
        <v>0</v>
      </c>
      <c r="O13" s="70">
        <v>56</v>
      </c>
      <c r="P13" s="70">
        <v>56</v>
      </c>
      <c r="Q13" s="70" t="s">
        <v>32</v>
      </c>
      <c r="R13" s="71">
        <v>295.41000000000003</v>
      </c>
      <c r="S13" s="70">
        <v>333</v>
      </c>
      <c r="T13" s="71">
        <v>233.1</v>
      </c>
      <c r="U13" s="70">
        <v>100</v>
      </c>
      <c r="V13" s="70">
        <v>24</v>
      </c>
      <c r="W13" s="70">
        <v>56</v>
      </c>
      <c r="X13" s="71">
        <v>1540.1</v>
      </c>
      <c r="Y13" s="71">
        <v>449.54</v>
      </c>
      <c r="Z13" s="71">
        <v>691.6</v>
      </c>
      <c r="AA13" s="71">
        <v>587.86</v>
      </c>
      <c r="AB13" s="71">
        <v>864.5</v>
      </c>
      <c r="AC13" s="71">
        <v>1037.3999999999999</v>
      </c>
    </row>
    <row r="14" spans="1:29" x14ac:dyDescent="0.25">
      <c r="A14" s="69" t="s">
        <v>71</v>
      </c>
      <c r="B14" s="70">
        <v>12</v>
      </c>
      <c r="C14" s="70" t="s">
        <v>29</v>
      </c>
      <c r="D14" s="71">
        <v>16</v>
      </c>
      <c r="E14" s="70" t="s">
        <v>30</v>
      </c>
      <c r="F14" s="70" t="s">
        <v>43</v>
      </c>
      <c r="G14" s="72">
        <v>6433</v>
      </c>
      <c r="H14" s="70" t="s">
        <v>44</v>
      </c>
      <c r="I14" s="70">
        <v>132</v>
      </c>
      <c r="J14" s="70">
        <v>399</v>
      </c>
      <c r="K14" s="70">
        <v>72</v>
      </c>
      <c r="L14" s="70">
        <v>250</v>
      </c>
      <c r="M14" s="70">
        <v>134</v>
      </c>
      <c r="N14" s="70">
        <v>0</v>
      </c>
      <c r="O14" s="70">
        <v>134</v>
      </c>
      <c r="P14" s="70">
        <v>6</v>
      </c>
      <c r="Q14" s="70" t="s">
        <v>34</v>
      </c>
      <c r="R14" s="71">
        <v>295.41000000000003</v>
      </c>
      <c r="S14" s="70">
        <v>343</v>
      </c>
      <c r="T14" s="71">
        <v>240.1</v>
      </c>
      <c r="U14" s="70">
        <v>100</v>
      </c>
      <c r="V14" s="70">
        <v>25</v>
      </c>
      <c r="W14" s="70">
        <v>57</v>
      </c>
      <c r="X14" s="71">
        <v>1549.1</v>
      </c>
      <c r="Y14" s="71">
        <v>836.29000000000008</v>
      </c>
      <c r="Z14" s="71">
        <v>1286.6000000000001</v>
      </c>
      <c r="AA14" s="71">
        <v>1093.6100000000001</v>
      </c>
      <c r="AB14" s="71">
        <v>1608.25</v>
      </c>
      <c r="AC14" s="71">
        <v>1929.8999999999999</v>
      </c>
    </row>
    <row r="15" spans="1:29" x14ac:dyDescent="0.25">
      <c r="A15" s="69" t="s">
        <v>71</v>
      </c>
      <c r="B15" s="70">
        <v>16</v>
      </c>
      <c r="C15" s="70" t="s">
        <v>37</v>
      </c>
      <c r="D15" s="71">
        <v>17</v>
      </c>
      <c r="E15" s="70" t="s">
        <v>41</v>
      </c>
      <c r="F15" s="70" t="s">
        <v>78</v>
      </c>
      <c r="G15" s="72">
        <v>6433</v>
      </c>
      <c r="H15" s="70" t="s">
        <v>44</v>
      </c>
      <c r="I15" s="70">
        <v>132</v>
      </c>
      <c r="J15" s="70">
        <v>399</v>
      </c>
      <c r="K15" s="70">
        <v>73</v>
      </c>
      <c r="L15" s="70">
        <v>250</v>
      </c>
      <c r="M15" s="70">
        <v>134</v>
      </c>
      <c r="N15" s="70">
        <v>65</v>
      </c>
      <c r="O15" s="70">
        <v>134</v>
      </c>
      <c r="P15" s="70">
        <v>6</v>
      </c>
      <c r="Q15" s="70" t="s">
        <v>36</v>
      </c>
      <c r="R15" s="71">
        <v>295.41000000000003</v>
      </c>
      <c r="S15" s="70">
        <v>343</v>
      </c>
      <c r="T15" s="71">
        <v>240.1</v>
      </c>
      <c r="U15" s="70">
        <v>100</v>
      </c>
      <c r="V15" s="70">
        <v>25</v>
      </c>
      <c r="W15" s="70">
        <v>57</v>
      </c>
      <c r="X15" s="71">
        <v>1615.1</v>
      </c>
      <c r="Y15" s="71">
        <v>836.29000000000008</v>
      </c>
      <c r="Z15" s="71">
        <v>1286.6000000000001</v>
      </c>
      <c r="AA15" s="71">
        <v>1093.6100000000001</v>
      </c>
      <c r="AB15" s="71">
        <v>1608.25</v>
      </c>
      <c r="AC15" s="71">
        <v>1929.8999999999999</v>
      </c>
    </row>
    <row r="16" spans="1:29" x14ac:dyDescent="0.25">
      <c r="A16" s="69" t="s">
        <v>71</v>
      </c>
      <c r="B16" s="70">
        <v>22</v>
      </c>
      <c r="C16" s="70" t="s">
        <v>29</v>
      </c>
      <c r="D16" s="71">
        <v>18</v>
      </c>
      <c r="E16" s="70" t="s">
        <v>41</v>
      </c>
      <c r="F16" s="70" t="s">
        <v>35</v>
      </c>
      <c r="G16" s="72">
        <v>6433</v>
      </c>
      <c r="H16" s="70" t="s">
        <v>44</v>
      </c>
      <c r="I16" s="70">
        <v>132</v>
      </c>
      <c r="J16" s="70">
        <v>399</v>
      </c>
      <c r="K16" s="70">
        <v>74</v>
      </c>
      <c r="L16" s="70">
        <v>250</v>
      </c>
      <c r="M16" s="70">
        <v>134</v>
      </c>
      <c r="N16" s="70">
        <v>65</v>
      </c>
      <c r="O16" s="70">
        <v>134</v>
      </c>
      <c r="P16" s="70">
        <v>6</v>
      </c>
      <c r="Q16" s="70" t="s">
        <v>74</v>
      </c>
      <c r="R16" s="71">
        <v>295.41000000000003</v>
      </c>
      <c r="S16" s="70">
        <v>343</v>
      </c>
      <c r="T16" s="71">
        <v>240.1</v>
      </c>
      <c r="U16" s="70">
        <v>100</v>
      </c>
      <c r="V16" s="70">
        <v>25</v>
      </c>
      <c r="W16" s="70">
        <v>57</v>
      </c>
      <c r="X16" s="71">
        <v>1616.1</v>
      </c>
      <c r="Y16" s="71">
        <v>836.29000000000008</v>
      </c>
      <c r="Z16" s="71">
        <v>1286.6000000000001</v>
      </c>
      <c r="AA16" s="71">
        <v>1093.6100000000001</v>
      </c>
      <c r="AB16" s="71">
        <v>1608.25</v>
      </c>
      <c r="AC16" s="71">
        <v>1929.8999999999999</v>
      </c>
    </row>
    <row r="17" spans="1:29" x14ac:dyDescent="0.25">
      <c r="A17" s="69" t="s">
        <v>45</v>
      </c>
      <c r="B17" s="70">
        <v>5</v>
      </c>
      <c r="C17" s="70" t="s">
        <v>37</v>
      </c>
      <c r="D17" s="71">
        <v>11</v>
      </c>
      <c r="E17" s="70" t="s">
        <v>30</v>
      </c>
      <c r="F17" s="70" t="s">
        <v>39</v>
      </c>
      <c r="G17" s="72">
        <v>8765</v>
      </c>
      <c r="H17" s="70" t="s">
        <v>44</v>
      </c>
      <c r="I17" s="70">
        <v>132</v>
      </c>
      <c r="J17" s="70">
        <v>387</v>
      </c>
      <c r="K17" s="70">
        <v>50</v>
      </c>
      <c r="L17" s="70">
        <v>250</v>
      </c>
      <c r="M17" s="70">
        <v>128</v>
      </c>
      <c r="N17" s="70">
        <v>34</v>
      </c>
      <c r="O17" s="70">
        <v>128</v>
      </c>
      <c r="P17" s="70">
        <v>46</v>
      </c>
      <c r="Q17" s="70" t="s">
        <v>32</v>
      </c>
      <c r="R17" s="71">
        <v>333</v>
      </c>
      <c r="S17" s="70">
        <v>343</v>
      </c>
      <c r="T17" s="71">
        <v>240.1</v>
      </c>
      <c r="U17" s="70">
        <v>100</v>
      </c>
      <c r="V17" s="70">
        <v>26</v>
      </c>
      <c r="W17" s="70">
        <v>58</v>
      </c>
      <c r="X17" s="71">
        <v>1579.1</v>
      </c>
      <c r="Y17" s="71">
        <v>1139.45</v>
      </c>
      <c r="Z17" s="71">
        <v>1753</v>
      </c>
      <c r="AA17" s="71">
        <v>1490.0500000000002</v>
      </c>
      <c r="AB17" s="71">
        <v>2191.25</v>
      </c>
      <c r="AC17" s="71">
        <v>2629.5</v>
      </c>
    </row>
    <row r="18" spans="1:29" x14ac:dyDescent="0.25">
      <c r="A18" s="69" t="s">
        <v>45</v>
      </c>
      <c r="B18" s="70">
        <v>13</v>
      </c>
      <c r="C18" s="70" t="s">
        <v>37</v>
      </c>
      <c r="D18" s="71">
        <v>21</v>
      </c>
      <c r="E18" s="70" t="s">
        <v>30</v>
      </c>
      <c r="F18" s="70" t="s">
        <v>78</v>
      </c>
      <c r="G18" s="72">
        <v>8765</v>
      </c>
      <c r="H18" s="70" t="s">
        <v>44</v>
      </c>
      <c r="I18" s="70">
        <v>132</v>
      </c>
      <c r="J18" s="70">
        <v>387</v>
      </c>
      <c r="K18" s="70">
        <v>50</v>
      </c>
      <c r="L18" s="70">
        <v>250</v>
      </c>
      <c r="M18" s="70">
        <v>128</v>
      </c>
      <c r="N18" s="70">
        <v>34</v>
      </c>
      <c r="O18" s="70">
        <v>128</v>
      </c>
      <c r="P18" s="70">
        <v>46</v>
      </c>
      <c r="Q18" s="70" t="s">
        <v>34</v>
      </c>
      <c r="R18" s="71">
        <v>333</v>
      </c>
      <c r="S18" s="70">
        <v>343</v>
      </c>
      <c r="T18" s="71">
        <v>240.1</v>
      </c>
      <c r="U18" s="70">
        <v>100</v>
      </c>
      <c r="V18" s="70">
        <v>26</v>
      </c>
      <c r="W18" s="70">
        <v>58</v>
      </c>
      <c r="X18" s="71">
        <v>1579.1</v>
      </c>
      <c r="Y18" s="71">
        <v>1139.45</v>
      </c>
      <c r="Z18" s="71">
        <v>1753</v>
      </c>
      <c r="AA18" s="71">
        <v>1490.0500000000002</v>
      </c>
      <c r="AB18" s="71">
        <v>2191.25</v>
      </c>
      <c r="AC18" s="71">
        <v>2629.5</v>
      </c>
    </row>
    <row r="19" spans="1:29" x14ac:dyDescent="0.25">
      <c r="A19" s="69" t="s">
        <v>45</v>
      </c>
      <c r="B19" s="70">
        <v>14</v>
      </c>
      <c r="C19" s="70" t="s">
        <v>37</v>
      </c>
      <c r="D19" s="71">
        <v>22</v>
      </c>
      <c r="E19" s="70" t="s">
        <v>30</v>
      </c>
      <c r="F19" s="70" t="s">
        <v>38</v>
      </c>
      <c r="G19" s="72">
        <v>8765</v>
      </c>
      <c r="H19" s="70" t="s">
        <v>44</v>
      </c>
      <c r="I19" s="70">
        <v>132</v>
      </c>
      <c r="J19" s="70">
        <v>387</v>
      </c>
      <c r="K19" s="70">
        <v>50</v>
      </c>
      <c r="L19" s="70">
        <v>250</v>
      </c>
      <c r="M19" s="70">
        <v>128</v>
      </c>
      <c r="N19" s="70">
        <v>34</v>
      </c>
      <c r="O19" s="70">
        <v>128</v>
      </c>
      <c r="P19" s="70">
        <v>46</v>
      </c>
      <c r="Q19" s="70" t="s">
        <v>36</v>
      </c>
      <c r="R19" s="71">
        <v>333</v>
      </c>
      <c r="S19" s="70">
        <v>343</v>
      </c>
      <c r="T19" s="71">
        <v>240.1</v>
      </c>
      <c r="U19" s="70">
        <v>100</v>
      </c>
      <c r="V19" s="70">
        <v>26</v>
      </c>
      <c r="W19" s="70">
        <v>58</v>
      </c>
      <c r="X19" s="71">
        <v>1579.1</v>
      </c>
      <c r="Y19" s="71">
        <v>1139.45</v>
      </c>
      <c r="Z19" s="71">
        <v>1753</v>
      </c>
      <c r="AA19" s="71">
        <v>1490.0500000000002</v>
      </c>
      <c r="AB19" s="71">
        <v>2191.25</v>
      </c>
      <c r="AC19" s="71">
        <v>2629.5</v>
      </c>
    </row>
    <row r="20" spans="1:29" x14ac:dyDescent="0.25">
      <c r="A20" s="69" t="s">
        <v>45</v>
      </c>
      <c r="B20" s="70">
        <v>15</v>
      </c>
      <c r="C20" s="70" t="s">
        <v>40</v>
      </c>
      <c r="D20" s="71">
        <v>23</v>
      </c>
      <c r="E20" s="70" t="s">
        <v>41</v>
      </c>
      <c r="F20" s="70" t="s">
        <v>39</v>
      </c>
      <c r="G20" s="72">
        <v>8765</v>
      </c>
      <c r="H20" s="70" t="s">
        <v>44</v>
      </c>
      <c r="I20" s="70">
        <v>132</v>
      </c>
      <c r="J20" s="70">
        <v>387</v>
      </c>
      <c r="K20" s="70">
        <v>50</v>
      </c>
      <c r="L20" s="70">
        <v>250</v>
      </c>
      <c r="M20" s="70">
        <v>128</v>
      </c>
      <c r="N20" s="70">
        <v>34</v>
      </c>
      <c r="O20" s="70">
        <v>128</v>
      </c>
      <c r="P20" s="70">
        <v>46</v>
      </c>
      <c r="Q20" s="70" t="s">
        <v>74</v>
      </c>
      <c r="R20" s="71">
        <v>333</v>
      </c>
      <c r="S20" s="70">
        <v>343</v>
      </c>
      <c r="T20" s="71">
        <v>240.1</v>
      </c>
      <c r="U20" s="70">
        <v>100</v>
      </c>
      <c r="V20" s="70">
        <v>26</v>
      </c>
      <c r="W20" s="70">
        <v>58</v>
      </c>
      <c r="X20" s="71">
        <v>1579.1</v>
      </c>
      <c r="Y20" s="71">
        <v>1139.45</v>
      </c>
      <c r="Z20" s="71">
        <v>1753</v>
      </c>
      <c r="AA20" s="71">
        <v>1490.0500000000002</v>
      </c>
      <c r="AB20" s="71">
        <v>2191.25</v>
      </c>
      <c r="AC20" s="71">
        <v>2629.5</v>
      </c>
    </row>
    <row r="21" spans="1:29" x14ac:dyDescent="0.25">
      <c r="A21" s="69" t="s">
        <v>73</v>
      </c>
      <c r="B21" s="70">
        <v>17</v>
      </c>
      <c r="C21" s="70" t="s">
        <v>40</v>
      </c>
      <c r="D21" s="71">
        <v>12.9</v>
      </c>
      <c r="E21" s="70" t="s">
        <v>30</v>
      </c>
      <c r="F21" s="70" t="s">
        <v>35</v>
      </c>
      <c r="G21" s="72">
        <v>5432</v>
      </c>
      <c r="H21" s="70" t="s">
        <v>44</v>
      </c>
      <c r="I21" s="70">
        <v>132</v>
      </c>
      <c r="J21" s="70">
        <v>245</v>
      </c>
      <c r="K21" s="70">
        <v>50</v>
      </c>
      <c r="L21" s="70">
        <v>250</v>
      </c>
      <c r="M21" s="70">
        <v>120</v>
      </c>
      <c r="N21" s="70">
        <v>0</v>
      </c>
      <c r="O21" s="70">
        <v>120</v>
      </c>
      <c r="P21" s="70">
        <v>66</v>
      </c>
      <c r="Q21" s="70" t="s">
        <v>32</v>
      </c>
      <c r="R21" s="71">
        <v>295.41000000000003</v>
      </c>
      <c r="S21" s="70">
        <v>343</v>
      </c>
      <c r="T21" s="71">
        <v>240.1</v>
      </c>
      <c r="U21" s="70">
        <v>100</v>
      </c>
      <c r="V21" s="70">
        <v>27</v>
      </c>
      <c r="W21" s="70">
        <v>59</v>
      </c>
      <c r="X21" s="71">
        <v>1409.1</v>
      </c>
      <c r="Y21" s="71">
        <v>706.16</v>
      </c>
      <c r="Z21" s="71">
        <v>1086.4000000000001</v>
      </c>
      <c r="AA21" s="71">
        <v>923.44</v>
      </c>
      <c r="AB21" s="71">
        <v>1358</v>
      </c>
      <c r="AC21" s="71">
        <v>1629.6</v>
      </c>
    </row>
    <row r="22" spans="1:29" x14ac:dyDescent="0.25">
      <c r="A22" s="69" t="s">
        <v>73</v>
      </c>
      <c r="B22" s="70">
        <v>18</v>
      </c>
      <c r="C22" s="70" t="s">
        <v>40</v>
      </c>
      <c r="D22" s="71">
        <v>12.9</v>
      </c>
      <c r="E22" s="70" t="s">
        <v>30</v>
      </c>
      <c r="F22" s="70" t="s">
        <v>38</v>
      </c>
      <c r="G22" s="72">
        <v>5432</v>
      </c>
      <c r="H22" s="70" t="s">
        <v>44</v>
      </c>
      <c r="I22" s="70">
        <v>132</v>
      </c>
      <c r="J22" s="70">
        <v>245</v>
      </c>
      <c r="K22" s="70">
        <v>50</v>
      </c>
      <c r="L22" s="70">
        <v>250</v>
      </c>
      <c r="M22" s="70">
        <v>120</v>
      </c>
      <c r="N22" s="70">
        <v>0</v>
      </c>
      <c r="O22" s="70">
        <v>120</v>
      </c>
      <c r="P22" s="70">
        <v>66</v>
      </c>
      <c r="Q22" s="70" t="s">
        <v>34</v>
      </c>
      <c r="R22" s="71">
        <v>295.41000000000003</v>
      </c>
      <c r="S22" s="70">
        <v>343</v>
      </c>
      <c r="T22" s="71">
        <v>240.1</v>
      </c>
      <c r="U22" s="70">
        <v>100</v>
      </c>
      <c r="V22" s="70">
        <v>27</v>
      </c>
      <c r="W22" s="70">
        <v>59</v>
      </c>
      <c r="X22" s="71">
        <v>1409.1</v>
      </c>
      <c r="Y22" s="71">
        <v>706.16</v>
      </c>
      <c r="Z22" s="71">
        <v>1086.4000000000001</v>
      </c>
      <c r="AA22" s="71">
        <v>923.44</v>
      </c>
      <c r="AB22" s="71">
        <v>1358</v>
      </c>
      <c r="AC22" s="71">
        <v>1629.6</v>
      </c>
    </row>
    <row r="23" spans="1:29" x14ac:dyDescent="0.25">
      <c r="A23" s="69" t="s">
        <v>73</v>
      </c>
      <c r="B23" s="70">
        <v>18</v>
      </c>
      <c r="C23" s="70" t="s">
        <v>40</v>
      </c>
      <c r="D23" s="71">
        <v>21</v>
      </c>
      <c r="E23" s="70" t="s">
        <v>30</v>
      </c>
      <c r="F23" s="70" t="s">
        <v>78</v>
      </c>
      <c r="G23" s="72">
        <v>5432</v>
      </c>
      <c r="H23" s="70" t="s">
        <v>44</v>
      </c>
      <c r="I23" s="70">
        <v>132</v>
      </c>
      <c r="J23" s="70">
        <v>245</v>
      </c>
      <c r="K23" s="70">
        <v>50</v>
      </c>
      <c r="L23" s="70">
        <v>250</v>
      </c>
      <c r="M23" s="70">
        <v>120</v>
      </c>
      <c r="N23" s="70">
        <v>0</v>
      </c>
      <c r="O23" s="70">
        <v>120</v>
      </c>
      <c r="P23" s="70">
        <v>66</v>
      </c>
      <c r="Q23" s="70" t="s">
        <v>36</v>
      </c>
      <c r="R23" s="71">
        <v>295.41000000000003</v>
      </c>
      <c r="S23" s="70">
        <v>343</v>
      </c>
      <c r="T23" s="71">
        <v>240.1</v>
      </c>
      <c r="U23" s="70">
        <v>100</v>
      </c>
      <c r="V23" s="70">
        <v>27</v>
      </c>
      <c r="W23" s="70">
        <v>59</v>
      </c>
      <c r="X23" s="71">
        <v>1409.1</v>
      </c>
      <c r="Y23" s="71">
        <v>706.16</v>
      </c>
      <c r="Z23" s="71">
        <v>1086.4000000000001</v>
      </c>
      <c r="AA23" s="71">
        <v>923.44</v>
      </c>
      <c r="AB23" s="71">
        <v>1358</v>
      </c>
      <c r="AC23" s="71">
        <v>1629.6</v>
      </c>
    </row>
    <row r="24" spans="1:29" x14ac:dyDescent="0.25">
      <c r="A24" s="69" t="s">
        <v>73</v>
      </c>
      <c r="B24" s="70">
        <v>24</v>
      </c>
      <c r="C24" s="70" t="s">
        <v>40</v>
      </c>
      <c r="D24" s="71">
        <v>22</v>
      </c>
      <c r="E24" s="70" t="s">
        <v>41</v>
      </c>
      <c r="F24" s="70" t="s">
        <v>78</v>
      </c>
      <c r="G24" s="72">
        <v>5432</v>
      </c>
      <c r="H24" s="70" t="s">
        <v>44</v>
      </c>
      <c r="I24" s="70">
        <v>132</v>
      </c>
      <c r="J24" s="70">
        <v>245</v>
      </c>
      <c r="K24" s="70">
        <v>50</v>
      </c>
      <c r="L24" s="70">
        <v>250</v>
      </c>
      <c r="M24" s="70">
        <v>120</v>
      </c>
      <c r="N24" s="70">
        <v>0</v>
      </c>
      <c r="O24" s="70">
        <v>120</v>
      </c>
      <c r="P24" s="70">
        <v>66</v>
      </c>
      <c r="Q24" s="70" t="s">
        <v>74</v>
      </c>
      <c r="R24" s="71">
        <v>295.41000000000003</v>
      </c>
      <c r="S24" s="70">
        <v>343</v>
      </c>
      <c r="T24" s="71">
        <v>240.1</v>
      </c>
      <c r="U24" s="70">
        <v>100</v>
      </c>
      <c r="V24" s="70">
        <v>27</v>
      </c>
      <c r="W24" s="70">
        <v>59</v>
      </c>
      <c r="X24" s="71">
        <v>1409.1</v>
      </c>
      <c r="Y24" s="71">
        <v>706.16</v>
      </c>
      <c r="Z24" s="71">
        <v>1086.4000000000001</v>
      </c>
      <c r="AA24" s="71">
        <v>923.44</v>
      </c>
      <c r="AB24" s="71">
        <v>1358</v>
      </c>
      <c r="AC24" s="71">
        <v>1629.6</v>
      </c>
    </row>
    <row r="25" spans="1:29" x14ac:dyDescent="0.25">
      <c r="A25" s="69" t="s">
        <v>72</v>
      </c>
      <c r="B25" s="70">
        <v>7</v>
      </c>
      <c r="C25" s="70" t="s">
        <v>29</v>
      </c>
      <c r="D25" s="71">
        <v>23</v>
      </c>
      <c r="E25" s="70" t="s">
        <v>41</v>
      </c>
      <c r="F25" s="70" t="s">
        <v>33</v>
      </c>
      <c r="G25" s="72">
        <v>6778</v>
      </c>
      <c r="H25" s="70" t="s">
        <v>46</v>
      </c>
      <c r="I25" s="70">
        <v>132</v>
      </c>
      <c r="J25" s="70">
        <v>400</v>
      </c>
      <c r="K25" s="70">
        <v>50</v>
      </c>
      <c r="L25" s="70">
        <v>250</v>
      </c>
      <c r="M25" s="70">
        <v>134</v>
      </c>
      <c r="N25" s="70">
        <v>0</v>
      </c>
      <c r="O25" s="70">
        <v>134</v>
      </c>
      <c r="P25" s="70">
        <v>6</v>
      </c>
      <c r="Q25" s="70" t="s">
        <v>32</v>
      </c>
      <c r="R25" s="71">
        <v>295.41000000000003</v>
      </c>
      <c r="S25" s="70">
        <v>377</v>
      </c>
      <c r="T25" s="71">
        <v>263.89999999999998</v>
      </c>
      <c r="U25" s="70">
        <v>100</v>
      </c>
      <c r="V25" s="70">
        <v>28</v>
      </c>
      <c r="W25" s="70">
        <v>60</v>
      </c>
      <c r="X25" s="71">
        <v>1557.9</v>
      </c>
      <c r="Y25" s="71">
        <v>881.14</v>
      </c>
      <c r="Z25" s="71">
        <v>1355.6000000000001</v>
      </c>
      <c r="AA25" s="71">
        <v>1152.26</v>
      </c>
      <c r="AB25" s="71">
        <v>1694.5</v>
      </c>
      <c r="AC25" s="71">
        <v>2033.3999999999999</v>
      </c>
    </row>
    <row r="26" spans="1:29" x14ac:dyDescent="0.25">
      <c r="A26" s="69" t="s">
        <v>72</v>
      </c>
      <c r="B26" s="70">
        <v>19</v>
      </c>
      <c r="C26" s="70" t="s">
        <v>29</v>
      </c>
      <c r="D26" s="71">
        <v>12</v>
      </c>
      <c r="E26" s="70" t="s">
        <v>41</v>
      </c>
      <c r="F26" s="70" t="s">
        <v>35</v>
      </c>
      <c r="G26" s="72">
        <v>6778</v>
      </c>
      <c r="H26" s="70" t="s">
        <v>46</v>
      </c>
      <c r="I26" s="70">
        <v>132</v>
      </c>
      <c r="J26" s="70">
        <v>400</v>
      </c>
      <c r="K26" s="70">
        <v>50</v>
      </c>
      <c r="L26" s="70">
        <v>250</v>
      </c>
      <c r="M26" s="70">
        <v>134</v>
      </c>
      <c r="N26" s="70">
        <v>65</v>
      </c>
      <c r="O26" s="70">
        <v>134</v>
      </c>
      <c r="P26" s="70">
        <v>6</v>
      </c>
      <c r="Q26" s="70" t="s">
        <v>34</v>
      </c>
      <c r="R26" s="71">
        <v>295.41000000000003</v>
      </c>
      <c r="S26" s="70">
        <v>377</v>
      </c>
      <c r="T26" s="71">
        <v>263.89999999999998</v>
      </c>
      <c r="U26" s="70">
        <v>100</v>
      </c>
      <c r="V26" s="70">
        <v>28</v>
      </c>
      <c r="W26" s="70">
        <v>60</v>
      </c>
      <c r="X26" s="71">
        <v>1622.9</v>
      </c>
      <c r="Y26" s="71">
        <v>881.14</v>
      </c>
      <c r="Z26" s="71">
        <v>1355.6000000000001</v>
      </c>
      <c r="AA26" s="71">
        <v>1152.26</v>
      </c>
      <c r="AB26" s="71">
        <v>1694.5</v>
      </c>
      <c r="AC26" s="71">
        <v>2033.3999999999999</v>
      </c>
    </row>
    <row r="27" spans="1:29" x14ac:dyDescent="0.25">
      <c r="A27" s="69" t="s">
        <v>72</v>
      </c>
      <c r="B27" s="70">
        <v>19</v>
      </c>
      <c r="C27" s="70" t="s">
        <v>29</v>
      </c>
      <c r="D27" s="71">
        <v>13</v>
      </c>
      <c r="E27" s="70" t="s">
        <v>30</v>
      </c>
      <c r="F27" s="70" t="s">
        <v>38</v>
      </c>
      <c r="G27" s="72">
        <v>6778</v>
      </c>
      <c r="H27" s="70" t="s">
        <v>46</v>
      </c>
      <c r="I27" s="70">
        <v>132</v>
      </c>
      <c r="J27" s="70">
        <v>400</v>
      </c>
      <c r="K27" s="70">
        <v>50</v>
      </c>
      <c r="L27" s="70">
        <v>250</v>
      </c>
      <c r="M27" s="70">
        <v>134</v>
      </c>
      <c r="N27" s="70">
        <v>65</v>
      </c>
      <c r="O27" s="70">
        <v>134</v>
      </c>
      <c r="P27" s="70">
        <v>6</v>
      </c>
      <c r="Q27" s="70" t="s">
        <v>36</v>
      </c>
      <c r="R27" s="71">
        <v>295.41000000000003</v>
      </c>
      <c r="S27" s="70">
        <v>377</v>
      </c>
      <c r="T27" s="71">
        <v>263.89999999999998</v>
      </c>
      <c r="U27" s="70">
        <v>100</v>
      </c>
      <c r="V27" s="70">
        <v>28</v>
      </c>
      <c r="W27" s="70">
        <v>60</v>
      </c>
      <c r="X27" s="71">
        <v>1622.9</v>
      </c>
      <c r="Y27" s="71">
        <v>881.14</v>
      </c>
      <c r="Z27" s="71">
        <v>1355.6000000000001</v>
      </c>
      <c r="AA27" s="71">
        <v>1152.26</v>
      </c>
      <c r="AB27" s="71">
        <v>1694.5</v>
      </c>
      <c r="AC27" s="71">
        <v>2033.3999999999999</v>
      </c>
    </row>
    <row r="28" spans="1:29" x14ac:dyDescent="0.25">
      <c r="A28" s="69" t="s">
        <v>72</v>
      </c>
      <c r="B28" s="70">
        <v>20</v>
      </c>
      <c r="C28" s="70" t="s">
        <v>29</v>
      </c>
      <c r="D28" s="71">
        <v>14</v>
      </c>
      <c r="E28" s="70" t="s">
        <v>30</v>
      </c>
      <c r="F28" s="70" t="s">
        <v>39</v>
      </c>
      <c r="G28" s="72">
        <v>6778</v>
      </c>
      <c r="H28" s="70" t="s">
        <v>46</v>
      </c>
      <c r="I28" s="70">
        <v>132</v>
      </c>
      <c r="J28" s="70">
        <v>400</v>
      </c>
      <c r="K28" s="70">
        <v>50</v>
      </c>
      <c r="L28" s="70">
        <v>250</v>
      </c>
      <c r="M28" s="70">
        <v>134</v>
      </c>
      <c r="N28" s="70">
        <v>65</v>
      </c>
      <c r="O28" s="70">
        <v>134</v>
      </c>
      <c r="P28" s="70">
        <v>6</v>
      </c>
      <c r="Q28" s="70" t="s">
        <v>74</v>
      </c>
      <c r="R28" s="71">
        <v>295.41000000000003</v>
      </c>
      <c r="S28" s="70">
        <v>377</v>
      </c>
      <c r="T28" s="71">
        <v>263.89999999999998</v>
      </c>
      <c r="U28" s="70">
        <v>100</v>
      </c>
      <c r="V28" s="70">
        <v>28</v>
      </c>
      <c r="W28" s="70">
        <v>60</v>
      </c>
      <c r="X28" s="71">
        <v>1622.9</v>
      </c>
      <c r="Y28" s="71">
        <v>881.14</v>
      </c>
      <c r="Z28" s="71">
        <v>1355.6000000000001</v>
      </c>
      <c r="AA28" s="71">
        <v>1152.26</v>
      </c>
      <c r="AB28" s="71">
        <v>1694.5</v>
      </c>
      <c r="AC28" s="71">
        <v>2033.3999999999999</v>
      </c>
    </row>
    <row r="29" spans="1:29" x14ac:dyDescent="0.25">
      <c r="A29" s="69" t="s">
        <v>72</v>
      </c>
      <c r="B29" s="70">
        <v>21</v>
      </c>
      <c r="C29" s="70" t="s">
        <v>29</v>
      </c>
      <c r="D29" s="71">
        <v>15</v>
      </c>
      <c r="E29" s="70" t="s">
        <v>30</v>
      </c>
      <c r="F29" s="70" t="s">
        <v>42</v>
      </c>
      <c r="G29" s="72">
        <v>6778</v>
      </c>
      <c r="H29" s="70" t="s">
        <v>46</v>
      </c>
      <c r="I29" s="70">
        <v>132</v>
      </c>
      <c r="J29" s="70">
        <v>400</v>
      </c>
      <c r="K29" s="70">
        <v>50</v>
      </c>
      <c r="L29" s="70">
        <v>250</v>
      </c>
      <c r="M29" s="70">
        <v>134</v>
      </c>
      <c r="N29" s="70">
        <v>65</v>
      </c>
      <c r="O29" s="70">
        <v>134</v>
      </c>
      <c r="P29" s="70">
        <v>6</v>
      </c>
      <c r="Q29" s="70" t="s">
        <v>32</v>
      </c>
      <c r="R29" s="71">
        <v>295.41000000000003</v>
      </c>
      <c r="S29" s="70">
        <v>377</v>
      </c>
      <c r="T29" s="71">
        <v>263.89999999999998</v>
      </c>
      <c r="U29" s="70">
        <v>100</v>
      </c>
      <c r="V29" s="70">
        <v>28</v>
      </c>
      <c r="W29" s="70">
        <v>60</v>
      </c>
      <c r="X29" s="71">
        <v>1622.9</v>
      </c>
      <c r="Y29" s="71">
        <v>881.14</v>
      </c>
      <c r="Z29" s="71">
        <v>1355.6000000000001</v>
      </c>
      <c r="AA29" s="71">
        <v>1152.26</v>
      </c>
      <c r="AB29" s="71">
        <v>1694.5</v>
      </c>
      <c r="AC29" s="71">
        <v>2033.3999999999999</v>
      </c>
    </row>
    <row r="30" spans="1:29" x14ac:dyDescent="0.25">
      <c r="A30" s="69" t="s">
        <v>72</v>
      </c>
      <c r="B30" s="70">
        <v>25</v>
      </c>
      <c r="C30" s="70" t="s">
        <v>29</v>
      </c>
      <c r="D30" s="71">
        <v>16</v>
      </c>
      <c r="E30" s="70" t="s">
        <v>30</v>
      </c>
      <c r="F30" s="70" t="s">
        <v>39</v>
      </c>
      <c r="G30" s="72">
        <v>6778</v>
      </c>
      <c r="H30" s="70" t="s">
        <v>46</v>
      </c>
      <c r="I30" s="70">
        <v>132</v>
      </c>
      <c r="J30" s="70">
        <v>400</v>
      </c>
      <c r="K30" s="70">
        <v>50</v>
      </c>
      <c r="L30" s="70">
        <v>250</v>
      </c>
      <c r="M30" s="70">
        <v>134</v>
      </c>
      <c r="N30" s="70">
        <v>65</v>
      </c>
      <c r="O30" s="70">
        <v>134</v>
      </c>
      <c r="P30" s="70">
        <v>6</v>
      </c>
      <c r="Q30" s="70" t="s">
        <v>34</v>
      </c>
      <c r="R30" s="71">
        <v>295.41000000000003</v>
      </c>
      <c r="S30" s="70">
        <v>377</v>
      </c>
      <c r="T30" s="71">
        <v>263.89999999999998</v>
      </c>
      <c r="U30" s="70">
        <v>100</v>
      </c>
      <c r="V30" s="70">
        <v>28</v>
      </c>
      <c r="W30" s="70">
        <v>60</v>
      </c>
      <c r="X30" s="71">
        <v>1622.9</v>
      </c>
      <c r="Y30" s="71">
        <v>881.14</v>
      </c>
      <c r="Z30" s="71">
        <v>1355.6000000000001</v>
      </c>
      <c r="AA30" s="71">
        <v>1152.26</v>
      </c>
      <c r="AB30" s="71">
        <v>1694.5</v>
      </c>
      <c r="AC30" s="71">
        <v>2033.3999999999999</v>
      </c>
    </row>
    <row r="31" spans="1:29" x14ac:dyDescent="0.25">
      <c r="A31" s="69" t="s">
        <v>72</v>
      </c>
      <c r="B31" s="70">
        <v>7</v>
      </c>
      <c r="C31" s="70" t="s">
        <v>29</v>
      </c>
      <c r="D31" s="71">
        <v>23</v>
      </c>
      <c r="E31" s="70" t="s">
        <v>41</v>
      </c>
      <c r="F31" s="70" t="s">
        <v>33</v>
      </c>
      <c r="G31" s="72">
        <v>6778</v>
      </c>
      <c r="H31" s="70" t="s">
        <v>46</v>
      </c>
      <c r="I31" s="70">
        <v>132</v>
      </c>
      <c r="J31" s="70">
        <v>400</v>
      </c>
      <c r="K31" s="70">
        <v>50</v>
      </c>
      <c r="L31" s="70">
        <v>250</v>
      </c>
      <c r="M31" s="70">
        <v>134</v>
      </c>
      <c r="N31" s="70">
        <v>0</v>
      </c>
      <c r="O31" s="70">
        <v>134</v>
      </c>
      <c r="P31" s="70">
        <v>6</v>
      </c>
      <c r="Q31" s="70" t="s">
        <v>36</v>
      </c>
      <c r="R31" s="71">
        <v>295.41000000000003</v>
      </c>
      <c r="S31" s="70">
        <v>377</v>
      </c>
      <c r="T31" s="71">
        <v>263.89999999999998</v>
      </c>
      <c r="U31" s="70">
        <v>100</v>
      </c>
      <c r="V31" s="70">
        <v>28</v>
      </c>
      <c r="W31" s="70">
        <v>60</v>
      </c>
      <c r="X31" s="71">
        <v>1557.9</v>
      </c>
      <c r="Y31" s="71">
        <v>881.14</v>
      </c>
      <c r="Z31" s="71">
        <v>1355.6000000000001</v>
      </c>
      <c r="AA31" s="71">
        <v>1152.26</v>
      </c>
      <c r="AB31" s="71">
        <v>1694.5</v>
      </c>
      <c r="AC31" s="71">
        <v>2033.3999999999999</v>
      </c>
    </row>
    <row r="32" spans="1:29" x14ac:dyDescent="0.25">
      <c r="A32" s="69" t="s">
        <v>72</v>
      </c>
      <c r="B32" s="70">
        <v>19</v>
      </c>
      <c r="C32" s="70" t="s">
        <v>29</v>
      </c>
      <c r="D32" s="71">
        <v>12</v>
      </c>
      <c r="E32" s="70" t="s">
        <v>41</v>
      </c>
      <c r="F32" s="70" t="s">
        <v>35</v>
      </c>
      <c r="G32" s="72">
        <v>6778</v>
      </c>
      <c r="H32" s="70" t="s">
        <v>46</v>
      </c>
      <c r="I32" s="70">
        <v>132</v>
      </c>
      <c r="J32" s="70">
        <v>400</v>
      </c>
      <c r="K32" s="70">
        <v>50</v>
      </c>
      <c r="L32" s="70">
        <v>250</v>
      </c>
      <c r="M32" s="70">
        <v>134</v>
      </c>
      <c r="N32" s="70">
        <v>65</v>
      </c>
      <c r="O32" s="70">
        <v>134</v>
      </c>
      <c r="P32" s="70">
        <v>6</v>
      </c>
      <c r="Q32" s="70" t="s">
        <v>74</v>
      </c>
      <c r="R32" s="71">
        <v>295.41000000000003</v>
      </c>
      <c r="S32" s="70">
        <v>377</v>
      </c>
      <c r="T32" s="71">
        <v>263.89999999999998</v>
      </c>
      <c r="U32" s="70">
        <v>100</v>
      </c>
      <c r="V32" s="70">
        <v>28</v>
      </c>
      <c r="W32" s="70">
        <v>60</v>
      </c>
      <c r="X32" s="71">
        <v>1622.9</v>
      </c>
      <c r="Y32" s="71">
        <v>881.14</v>
      </c>
      <c r="Z32" s="71">
        <v>1355.6000000000001</v>
      </c>
      <c r="AA32" s="71">
        <v>1152.26</v>
      </c>
      <c r="AB32" s="71">
        <v>1694.5</v>
      </c>
      <c r="AC32" s="71">
        <v>2033.3999999999999</v>
      </c>
    </row>
    <row r="33" spans="1:29" x14ac:dyDescent="0.25">
      <c r="A33" s="69" t="s">
        <v>72</v>
      </c>
      <c r="B33" s="70">
        <v>19</v>
      </c>
      <c r="C33" s="70" t="s">
        <v>29</v>
      </c>
      <c r="D33" s="71">
        <v>13</v>
      </c>
      <c r="E33" s="70" t="s">
        <v>30</v>
      </c>
      <c r="F33" s="70" t="s">
        <v>38</v>
      </c>
      <c r="G33" s="72">
        <v>6778</v>
      </c>
      <c r="H33" s="70" t="s">
        <v>46</v>
      </c>
      <c r="I33" s="70">
        <v>132</v>
      </c>
      <c r="J33" s="70">
        <v>400</v>
      </c>
      <c r="K33" s="70">
        <v>50</v>
      </c>
      <c r="L33" s="70">
        <v>250</v>
      </c>
      <c r="M33" s="70">
        <v>134</v>
      </c>
      <c r="N33" s="70">
        <v>65</v>
      </c>
      <c r="O33" s="70">
        <v>134</v>
      </c>
      <c r="P33" s="70">
        <v>6</v>
      </c>
      <c r="Q33" s="70" t="s">
        <v>32</v>
      </c>
      <c r="R33" s="71">
        <v>295.41000000000003</v>
      </c>
      <c r="S33" s="70">
        <v>377</v>
      </c>
      <c r="T33" s="71">
        <v>263.89999999999998</v>
      </c>
      <c r="U33" s="70">
        <v>100</v>
      </c>
      <c r="V33" s="70">
        <v>28</v>
      </c>
      <c r="W33" s="70">
        <v>60</v>
      </c>
      <c r="X33" s="71">
        <v>1622.9</v>
      </c>
      <c r="Y33" s="71">
        <v>881.14</v>
      </c>
      <c r="Z33" s="71">
        <v>1355.6000000000001</v>
      </c>
      <c r="AA33" s="71">
        <v>1152.26</v>
      </c>
      <c r="AB33" s="71">
        <v>1694.5</v>
      </c>
      <c r="AC33" s="71">
        <v>2033.3999999999999</v>
      </c>
    </row>
    <row r="34" spans="1:29" x14ac:dyDescent="0.25">
      <c r="A34" s="69" t="s">
        <v>72</v>
      </c>
      <c r="B34" s="70">
        <v>20</v>
      </c>
      <c r="C34" s="70" t="s">
        <v>29</v>
      </c>
      <c r="D34" s="71">
        <v>14</v>
      </c>
      <c r="E34" s="70" t="s">
        <v>30</v>
      </c>
      <c r="F34" s="70" t="s">
        <v>39</v>
      </c>
      <c r="G34" s="72">
        <v>6778</v>
      </c>
      <c r="H34" s="70" t="s">
        <v>46</v>
      </c>
      <c r="I34" s="70">
        <v>132</v>
      </c>
      <c r="J34" s="70">
        <v>400</v>
      </c>
      <c r="K34" s="70">
        <v>50</v>
      </c>
      <c r="L34" s="70">
        <v>250</v>
      </c>
      <c r="M34" s="70">
        <v>134</v>
      </c>
      <c r="N34" s="70">
        <v>65</v>
      </c>
      <c r="O34" s="70">
        <v>134</v>
      </c>
      <c r="P34" s="70">
        <v>6</v>
      </c>
      <c r="Q34" s="70" t="s">
        <v>34</v>
      </c>
      <c r="R34" s="71">
        <v>295.41000000000003</v>
      </c>
      <c r="S34" s="70">
        <v>377</v>
      </c>
      <c r="T34" s="71">
        <v>263.89999999999998</v>
      </c>
      <c r="U34" s="70">
        <v>100</v>
      </c>
      <c r="V34" s="70">
        <v>28</v>
      </c>
      <c r="W34" s="70">
        <v>60</v>
      </c>
      <c r="X34" s="71">
        <v>1622.9</v>
      </c>
      <c r="Y34" s="71">
        <v>881.14</v>
      </c>
      <c r="Z34" s="71">
        <v>1355.6000000000001</v>
      </c>
      <c r="AA34" s="71">
        <v>1152.26</v>
      </c>
      <c r="AB34" s="71">
        <v>1694.5</v>
      </c>
      <c r="AC34" s="71">
        <v>2033.3999999999999</v>
      </c>
    </row>
    <row r="35" spans="1:29" x14ac:dyDescent="0.25">
      <c r="A35" s="69" t="s">
        <v>72</v>
      </c>
      <c r="B35" s="70">
        <v>21</v>
      </c>
      <c r="C35" s="70" t="s">
        <v>29</v>
      </c>
      <c r="D35" s="71">
        <v>15</v>
      </c>
      <c r="E35" s="70" t="s">
        <v>30</v>
      </c>
      <c r="F35" s="70" t="s">
        <v>42</v>
      </c>
      <c r="G35" s="72">
        <v>6778</v>
      </c>
      <c r="H35" s="70" t="s">
        <v>46</v>
      </c>
      <c r="I35" s="70">
        <v>132</v>
      </c>
      <c r="J35" s="70">
        <v>400</v>
      </c>
      <c r="K35" s="70">
        <v>50</v>
      </c>
      <c r="L35" s="70">
        <v>250</v>
      </c>
      <c r="M35" s="70">
        <v>134</v>
      </c>
      <c r="N35" s="70">
        <v>65</v>
      </c>
      <c r="O35" s="70">
        <v>134</v>
      </c>
      <c r="P35" s="70">
        <v>6</v>
      </c>
      <c r="Q35" s="70" t="s">
        <v>36</v>
      </c>
      <c r="R35" s="71">
        <v>295.41000000000003</v>
      </c>
      <c r="S35" s="70">
        <v>377</v>
      </c>
      <c r="T35" s="71">
        <v>263.89999999999998</v>
      </c>
      <c r="U35" s="70">
        <v>100</v>
      </c>
      <c r="V35" s="70">
        <v>28</v>
      </c>
      <c r="W35" s="70">
        <v>60</v>
      </c>
      <c r="X35" s="71">
        <v>1622.9</v>
      </c>
      <c r="Y35" s="71">
        <v>881.14</v>
      </c>
      <c r="Z35" s="71">
        <v>1355.6000000000001</v>
      </c>
      <c r="AA35" s="71">
        <v>1152.26</v>
      </c>
      <c r="AB35" s="71">
        <v>1694.5</v>
      </c>
      <c r="AC35" s="71">
        <v>2033.3999999999999</v>
      </c>
    </row>
    <row r="36" spans="1:29" x14ac:dyDescent="0.25">
      <c r="A36" s="69" t="s">
        <v>72</v>
      </c>
      <c r="B36" s="70">
        <v>25</v>
      </c>
      <c r="C36" s="70" t="s">
        <v>29</v>
      </c>
      <c r="D36" s="71">
        <v>16</v>
      </c>
      <c r="E36" s="70" t="s">
        <v>30</v>
      </c>
      <c r="F36" s="70" t="s">
        <v>39</v>
      </c>
      <c r="G36" s="72">
        <v>6778</v>
      </c>
      <c r="H36" s="70" t="s">
        <v>46</v>
      </c>
      <c r="I36" s="70">
        <v>132</v>
      </c>
      <c r="J36" s="70">
        <v>400</v>
      </c>
      <c r="K36" s="70">
        <v>50</v>
      </c>
      <c r="L36" s="70">
        <v>250</v>
      </c>
      <c r="M36" s="70">
        <v>134</v>
      </c>
      <c r="N36" s="70">
        <v>65</v>
      </c>
      <c r="O36" s="70">
        <v>134</v>
      </c>
      <c r="P36" s="70">
        <v>6</v>
      </c>
      <c r="Q36" s="70" t="s">
        <v>74</v>
      </c>
      <c r="R36" s="71">
        <v>295.41000000000003</v>
      </c>
      <c r="S36" s="70">
        <v>377</v>
      </c>
      <c r="T36" s="71">
        <v>263.89999999999998</v>
      </c>
      <c r="U36" s="70">
        <v>100</v>
      </c>
      <c r="V36" s="70">
        <v>28</v>
      </c>
      <c r="W36" s="70">
        <v>60</v>
      </c>
      <c r="X36" s="71">
        <v>1622.9</v>
      </c>
      <c r="Y36" s="71">
        <v>881.14</v>
      </c>
      <c r="Z36" s="71">
        <v>1355.6000000000001</v>
      </c>
      <c r="AA36" s="71">
        <v>1152.26</v>
      </c>
      <c r="AB36" s="71">
        <v>1694.5</v>
      </c>
      <c r="AC36" s="71">
        <v>2033.3999999999999</v>
      </c>
    </row>
    <row r="37" spans="1:29" x14ac:dyDescent="0.25">
      <c r="A37" s="69" t="s">
        <v>75</v>
      </c>
      <c r="B37" s="70">
        <v>8</v>
      </c>
      <c r="C37" s="70" t="s">
        <v>37</v>
      </c>
      <c r="D37" s="71">
        <v>17</v>
      </c>
      <c r="E37" s="70" t="s">
        <v>30</v>
      </c>
      <c r="F37" s="70" t="s">
        <v>78</v>
      </c>
      <c r="G37" s="72">
        <v>6543</v>
      </c>
      <c r="H37" s="70" t="s">
        <v>46</v>
      </c>
      <c r="I37" s="70">
        <v>132</v>
      </c>
      <c r="J37" s="70">
        <v>400</v>
      </c>
      <c r="K37" s="70">
        <v>50</v>
      </c>
      <c r="L37" s="70">
        <v>250</v>
      </c>
      <c r="M37" s="70">
        <v>121</v>
      </c>
      <c r="N37" s="70">
        <v>0</v>
      </c>
      <c r="O37" s="70">
        <v>51</v>
      </c>
      <c r="P37" s="70">
        <v>51</v>
      </c>
      <c r="Q37" s="70" t="s">
        <v>32</v>
      </c>
      <c r="R37" s="71">
        <v>295.41000000000003</v>
      </c>
      <c r="S37" s="70">
        <v>389</v>
      </c>
      <c r="T37" s="71">
        <v>272.29999999999995</v>
      </c>
      <c r="U37" s="70">
        <v>100</v>
      </c>
      <c r="V37" s="70">
        <v>29</v>
      </c>
      <c r="W37" s="70">
        <v>61</v>
      </c>
      <c r="X37" s="71">
        <v>1517.3</v>
      </c>
      <c r="Y37" s="71">
        <v>850.59</v>
      </c>
      <c r="Z37" s="71">
        <v>1308.6000000000001</v>
      </c>
      <c r="AA37" s="71">
        <v>1112.3100000000002</v>
      </c>
      <c r="AB37" s="71">
        <v>1635.75</v>
      </c>
      <c r="AC37" s="71">
        <v>1962.8999999999999</v>
      </c>
    </row>
    <row r="38" spans="1:29" x14ac:dyDescent="0.25">
      <c r="A38" s="69" t="s">
        <v>75</v>
      </c>
      <c r="B38" s="70">
        <v>20</v>
      </c>
      <c r="C38" s="70" t="s">
        <v>37</v>
      </c>
      <c r="D38" s="71">
        <v>18</v>
      </c>
      <c r="E38" s="70" t="s">
        <v>30</v>
      </c>
      <c r="F38" s="70" t="s">
        <v>42</v>
      </c>
      <c r="G38" s="72">
        <v>6543</v>
      </c>
      <c r="H38" s="70" t="s">
        <v>46</v>
      </c>
      <c r="I38" s="70">
        <v>132</v>
      </c>
      <c r="J38" s="70">
        <v>400</v>
      </c>
      <c r="K38" s="70">
        <v>50</v>
      </c>
      <c r="L38" s="70">
        <v>250</v>
      </c>
      <c r="M38" s="70">
        <v>121</v>
      </c>
      <c r="N38" s="70">
        <v>0</v>
      </c>
      <c r="O38" s="70">
        <v>51</v>
      </c>
      <c r="P38" s="70">
        <v>51</v>
      </c>
      <c r="Q38" s="70" t="s">
        <v>34</v>
      </c>
      <c r="R38" s="71">
        <v>295.41000000000003</v>
      </c>
      <c r="S38" s="70">
        <v>389</v>
      </c>
      <c r="T38" s="71">
        <v>272.29999999999995</v>
      </c>
      <c r="U38" s="70">
        <v>100</v>
      </c>
      <c r="V38" s="70">
        <v>29</v>
      </c>
      <c r="W38" s="70">
        <v>61</v>
      </c>
      <c r="X38" s="71">
        <v>1517.3</v>
      </c>
      <c r="Y38" s="71">
        <v>850.59</v>
      </c>
      <c r="Z38" s="71">
        <v>1308.6000000000001</v>
      </c>
      <c r="AA38" s="71">
        <v>1112.3100000000002</v>
      </c>
      <c r="AB38" s="71">
        <v>1635.75</v>
      </c>
      <c r="AC38" s="71">
        <v>1962.8999999999999</v>
      </c>
    </row>
    <row r="39" spans="1:29" x14ac:dyDescent="0.25">
      <c r="A39" s="69" t="s">
        <v>75</v>
      </c>
      <c r="B39" s="70">
        <v>22</v>
      </c>
      <c r="C39" s="70" t="s">
        <v>37</v>
      </c>
      <c r="D39" s="71">
        <v>12.9</v>
      </c>
      <c r="E39" s="70" t="s">
        <v>30</v>
      </c>
      <c r="F39" s="70" t="s">
        <v>33</v>
      </c>
      <c r="G39" s="72">
        <v>6543</v>
      </c>
      <c r="H39" s="70" t="s">
        <v>46</v>
      </c>
      <c r="I39" s="70">
        <v>132</v>
      </c>
      <c r="J39" s="70">
        <v>400</v>
      </c>
      <c r="K39" s="70">
        <v>50</v>
      </c>
      <c r="L39" s="70">
        <v>250</v>
      </c>
      <c r="M39" s="70">
        <v>121</v>
      </c>
      <c r="N39" s="70">
        <v>33</v>
      </c>
      <c r="O39" s="70">
        <v>51</v>
      </c>
      <c r="P39" s="70">
        <v>51</v>
      </c>
      <c r="Q39" s="70" t="s">
        <v>36</v>
      </c>
      <c r="R39" s="71">
        <v>295.41000000000003</v>
      </c>
      <c r="S39" s="70">
        <v>389</v>
      </c>
      <c r="T39" s="71">
        <v>272.29999999999995</v>
      </c>
      <c r="U39" s="70">
        <v>100</v>
      </c>
      <c r="V39" s="70">
        <v>29</v>
      </c>
      <c r="W39" s="70">
        <v>61</v>
      </c>
      <c r="X39" s="71">
        <v>1550.3</v>
      </c>
      <c r="Y39" s="71">
        <v>850.59</v>
      </c>
      <c r="Z39" s="71">
        <v>1308.6000000000001</v>
      </c>
      <c r="AA39" s="71">
        <v>1112.3100000000002</v>
      </c>
      <c r="AB39" s="71">
        <v>1635.75</v>
      </c>
      <c r="AC39" s="71">
        <v>1962.8999999999999</v>
      </c>
    </row>
    <row r="40" spans="1:29" x14ac:dyDescent="0.25">
      <c r="A40" s="69" t="s">
        <v>75</v>
      </c>
      <c r="B40" s="70">
        <v>23</v>
      </c>
      <c r="C40" s="70" t="s">
        <v>37</v>
      </c>
      <c r="D40" s="71">
        <v>12.9</v>
      </c>
      <c r="E40" s="70" t="s">
        <v>30</v>
      </c>
      <c r="F40" s="70" t="s">
        <v>35</v>
      </c>
      <c r="G40" s="72">
        <v>6543</v>
      </c>
      <c r="H40" s="70" t="s">
        <v>46</v>
      </c>
      <c r="I40" s="70">
        <v>132</v>
      </c>
      <c r="J40" s="70">
        <v>400</v>
      </c>
      <c r="K40" s="70">
        <v>50</v>
      </c>
      <c r="L40" s="70">
        <v>250</v>
      </c>
      <c r="M40" s="70">
        <v>121</v>
      </c>
      <c r="N40" s="70">
        <v>33</v>
      </c>
      <c r="O40" s="70">
        <v>51</v>
      </c>
      <c r="P40" s="70">
        <v>51</v>
      </c>
      <c r="Q40" s="70" t="s">
        <v>74</v>
      </c>
      <c r="R40" s="71">
        <v>295.41000000000003</v>
      </c>
      <c r="S40" s="70">
        <v>389</v>
      </c>
      <c r="T40" s="71">
        <v>272.29999999999995</v>
      </c>
      <c r="U40" s="70">
        <v>100</v>
      </c>
      <c r="V40" s="70">
        <v>29</v>
      </c>
      <c r="W40" s="70">
        <v>61</v>
      </c>
      <c r="X40" s="71">
        <v>1550.3</v>
      </c>
      <c r="Y40" s="71">
        <v>850.59</v>
      </c>
      <c r="Z40" s="71">
        <v>1308.6000000000001</v>
      </c>
      <c r="AA40" s="71">
        <v>1112.3100000000002</v>
      </c>
      <c r="AB40" s="71">
        <v>1635.75</v>
      </c>
      <c r="AC40" s="71">
        <v>1962.8999999999999</v>
      </c>
    </row>
    <row r="41" spans="1:29" x14ac:dyDescent="0.25">
      <c r="A41" s="69" t="s">
        <v>76</v>
      </c>
      <c r="B41" s="70">
        <v>25</v>
      </c>
      <c r="C41" s="70" t="s">
        <v>29</v>
      </c>
      <c r="D41" s="71">
        <v>12.9</v>
      </c>
      <c r="E41" s="70" t="s">
        <v>30</v>
      </c>
      <c r="F41" s="70" t="s">
        <v>35</v>
      </c>
      <c r="G41" s="72">
        <v>8633</v>
      </c>
      <c r="H41" s="70" t="s">
        <v>46</v>
      </c>
      <c r="I41" s="70">
        <v>132</v>
      </c>
      <c r="J41" s="70">
        <v>400</v>
      </c>
      <c r="K41" s="70">
        <v>50</v>
      </c>
      <c r="L41" s="70">
        <v>250</v>
      </c>
      <c r="M41" s="70">
        <v>134</v>
      </c>
      <c r="N41" s="70">
        <v>0</v>
      </c>
      <c r="O41" s="70">
        <v>134</v>
      </c>
      <c r="P41" s="70">
        <v>6</v>
      </c>
      <c r="Q41" s="70" t="s">
        <v>36</v>
      </c>
      <c r="R41" s="71">
        <v>295.41000000000003</v>
      </c>
      <c r="S41" s="70">
        <v>234</v>
      </c>
      <c r="T41" s="71">
        <v>163.79999999999998</v>
      </c>
      <c r="U41" s="70">
        <v>100</v>
      </c>
      <c r="V41" s="70">
        <v>23</v>
      </c>
      <c r="W41" s="70">
        <v>55</v>
      </c>
      <c r="X41" s="71">
        <v>1447.8</v>
      </c>
      <c r="Y41" s="71">
        <v>1122.29</v>
      </c>
      <c r="Z41" s="71">
        <v>1726.6000000000001</v>
      </c>
      <c r="AA41" s="71">
        <v>1467.6100000000001</v>
      </c>
      <c r="AB41" s="71">
        <v>2158.25</v>
      </c>
      <c r="AC41" s="71">
        <v>2589.9</v>
      </c>
    </row>
    <row r="42" spans="1:29" x14ac:dyDescent="0.25">
      <c r="A42" s="69" t="s">
        <v>76</v>
      </c>
      <c r="B42" s="70">
        <v>26</v>
      </c>
      <c r="C42" s="70" t="s">
        <v>29</v>
      </c>
      <c r="D42" s="71">
        <v>18</v>
      </c>
      <c r="E42" s="70" t="s">
        <v>30</v>
      </c>
      <c r="F42" s="70" t="s">
        <v>38</v>
      </c>
      <c r="G42" s="72">
        <v>8633</v>
      </c>
      <c r="H42" s="70" t="s">
        <v>46</v>
      </c>
      <c r="I42" s="70">
        <v>132</v>
      </c>
      <c r="J42" s="70">
        <v>400</v>
      </c>
      <c r="K42" s="70">
        <v>50</v>
      </c>
      <c r="L42" s="70">
        <v>250</v>
      </c>
      <c r="M42" s="70">
        <v>134</v>
      </c>
      <c r="N42" s="70">
        <v>0</v>
      </c>
      <c r="O42" s="70">
        <v>134</v>
      </c>
      <c r="P42" s="70">
        <v>6</v>
      </c>
      <c r="Q42" s="70" t="s">
        <v>36</v>
      </c>
      <c r="R42" s="71">
        <v>295.41000000000003</v>
      </c>
      <c r="S42" s="70">
        <v>234</v>
      </c>
      <c r="T42" s="71">
        <v>163.79999999999998</v>
      </c>
      <c r="U42" s="70">
        <v>100</v>
      </c>
      <c r="V42" s="70">
        <v>23</v>
      </c>
      <c r="W42" s="70">
        <v>55</v>
      </c>
      <c r="X42" s="71">
        <v>1447.8</v>
      </c>
      <c r="Y42" s="71">
        <v>1122.29</v>
      </c>
      <c r="Z42" s="71">
        <v>1726.6000000000001</v>
      </c>
      <c r="AA42" s="71">
        <v>1467.6100000000001</v>
      </c>
      <c r="AB42" s="71">
        <v>2158.25</v>
      </c>
      <c r="AC42" s="71">
        <v>2589.9</v>
      </c>
    </row>
    <row r="43" spans="1:29" x14ac:dyDescent="0.25">
      <c r="A43" s="69" t="s">
        <v>76</v>
      </c>
      <c r="B43" s="70">
        <v>27</v>
      </c>
      <c r="C43" s="70" t="s">
        <v>29</v>
      </c>
      <c r="D43" s="71">
        <v>19</v>
      </c>
      <c r="E43" s="70" t="s">
        <v>30</v>
      </c>
      <c r="F43" s="70" t="s">
        <v>39</v>
      </c>
      <c r="G43" s="72">
        <v>8633</v>
      </c>
      <c r="H43" s="70" t="s">
        <v>46</v>
      </c>
      <c r="I43" s="70">
        <v>132</v>
      </c>
      <c r="J43" s="70">
        <v>400</v>
      </c>
      <c r="K43" s="70">
        <v>50</v>
      </c>
      <c r="L43" s="70">
        <v>250</v>
      </c>
      <c r="M43" s="70">
        <v>134</v>
      </c>
      <c r="N43" s="70">
        <v>0</v>
      </c>
      <c r="O43" s="70">
        <v>134</v>
      </c>
      <c r="P43" s="70">
        <v>6</v>
      </c>
      <c r="Q43" s="70" t="s">
        <v>36</v>
      </c>
      <c r="R43" s="71">
        <v>295.41000000000003</v>
      </c>
      <c r="S43" s="70">
        <v>234</v>
      </c>
      <c r="T43" s="71">
        <v>163.79999999999998</v>
      </c>
      <c r="U43" s="70">
        <v>100</v>
      </c>
      <c r="V43" s="70">
        <v>23</v>
      </c>
      <c r="W43" s="70">
        <v>55</v>
      </c>
      <c r="X43" s="71">
        <v>1447.8</v>
      </c>
      <c r="Y43" s="71">
        <v>1122.29</v>
      </c>
      <c r="Z43" s="71">
        <v>1726.6000000000001</v>
      </c>
      <c r="AA43" s="71">
        <v>1467.6100000000001</v>
      </c>
      <c r="AB43" s="71">
        <v>2158.25</v>
      </c>
      <c r="AC43" s="71">
        <v>2589.9</v>
      </c>
    </row>
    <row r="44" spans="1:29" x14ac:dyDescent="0.25">
      <c r="A44" s="69" t="s">
        <v>76</v>
      </c>
      <c r="B44" s="70">
        <v>27</v>
      </c>
      <c r="C44" s="70" t="s">
        <v>29</v>
      </c>
      <c r="D44" s="71">
        <v>20</v>
      </c>
      <c r="E44" s="70" t="s">
        <v>30</v>
      </c>
      <c r="F44" s="70" t="s">
        <v>39</v>
      </c>
      <c r="G44" s="72">
        <v>8633</v>
      </c>
      <c r="H44" s="70" t="s">
        <v>46</v>
      </c>
      <c r="I44" s="70">
        <v>132</v>
      </c>
      <c r="J44" s="70">
        <v>400</v>
      </c>
      <c r="K44" s="70">
        <v>50</v>
      </c>
      <c r="L44" s="70">
        <v>250</v>
      </c>
      <c r="M44" s="70">
        <v>134</v>
      </c>
      <c r="N44" s="70">
        <v>0</v>
      </c>
      <c r="O44" s="70">
        <v>134</v>
      </c>
      <c r="P44" s="70">
        <v>6</v>
      </c>
      <c r="Q44" s="70" t="s">
        <v>36</v>
      </c>
      <c r="R44" s="71">
        <v>295.41000000000003</v>
      </c>
      <c r="S44" s="70">
        <v>234</v>
      </c>
      <c r="T44" s="71">
        <v>163.79999999999998</v>
      </c>
      <c r="U44" s="70">
        <v>100</v>
      </c>
      <c r="V44" s="70">
        <v>23</v>
      </c>
      <c r="W44" s="70">
        <v>55</v>
      </c>
      <c r="X44" s="71">
        <v>1447.8</v>
      </c>
      <c r="Y44" s="71">
        <v>1122.29</v>
      </c>
      <c r="Z44" s="71">
        <v>1726.6000000000001</v>
      </c>
      <c r="AA44" s="71">
        <v>1467.6100000000001</v>
      </c>
      <c r="AB44" s="71">
        <v>2158.25</v>
      </c>
      <c r="AC44" s="71">
        <v>2589.9</v>
      </c>
    </row>
    <row r="45" spans="1:29" x14ac:dyDescent="0.25">
      <c r="A45" s="69" t="s">
        <v>77</v>
      </c>
      <c r="B45" s="70">
        <v>1</v>
      </c>
      <c r="C45" s="70" t="s">
        <v>29</v>
      </c>
      <c r="D45" s="71">
        <v>21</v>
      </c>
      <c r="E45" s="70" t="s">
        <v>30</v>
      </c>
      <c r="F45" s="70" t="s">
        <v>39</v>
      </c>
      <c r="G45" s="72">
        <v>5556</v>
      </c>
      <c r="H45" s="70" t="s">
        <v>31</v>
      </c>
      <c r="I45" s="70">
        <v>132</v>
      </c>
      <c r="J45" s="70">
        <v>400</v>
      </c>
      <c r="K45" s="70">
        <v>50</v>
      </c>
      <c r="L45" s="70">
        <v>250</v>
      </c>
      <c r="M45" s="70">
        <v>120</v>
      </c>
      <c r="N45" s="70">
        <v>65</v>
      </c>
      <c r="O45" s="70">
        <v>134</v>
      </c>
      <c r="P45" s="70">
        <v>6</v>
      </c>
      <c r="Q45" s="70" t="s">
        <v>32</v>
      </c>
      <c r="R45" s="71">
        <v>295.41000000000003</v>
      </c>
      <c r="S45" s="70">
        <v>343</v>
      </c>
      <c r="T45" s="71">
        <v>240.1</v>
      </c>
      <c r="U45" s="70">
        <v>100</v>
      </c>
      <c r="V45" s="70">
        <v>22</v>
      </c>
      <c r="W45" s="70">
        <v>54</v>
      </c>
      <c r="X45" s="71">
        <v>1573.1</v>
      </c>
      <c r="Y45" s="71">
        <v>722.28</v>
      </c>
      <c r="Z45" s="71">
        <v>1111.2</v>
      </c>
      <c r="AA45" s="71">
        <v>944.5200000000001</v>
      </c>
      <c r="AB45" s="71">
        <v>1389</v>
      </c>
      <c r="AC45" s="71">
        <v>1666.8</v>
      </c>
    </row>
    <row r="46" spans="1:29" x14ac:dyDescent="0.25">
      <c r="A46" s="69" t="s">
        <v>77</v>
      </c>
      <c r="B46" s="70">
        <v>2</v>
      </c>
      <c r="C46" s="70" t="s">
        <v>29</v>
      </c>
      <c r="D46" s="71">
        <v>22</v>
      </c>
      <c r="E46" s="70" t="s">
        <v>30</v>
      </c>
      <c r="F46" s="70" t="s">
        <v>39</v>
      </c>
      <c r="G46" s="72">
        <v>5556</v>
      </c>
      <c r="H46" s="70" t="s">
        <v>31</v>
      </c>
      <c r="I46" s="70">
        <v>132</v>
      </c>
      <c r="J46" s="70">
        <v>400</v>
      </c>
      <c r="K46" s="70">
        <v>50</v>
      </c>
      <c r="L46" s="70">
        <v>250</v>
      </c>
      <c r="M46" s="70">
        <v>120</v>
      </c>
      <c r="N46" s="70">
        <v>65</v>
      </c>
      <c r="O46" s="70">
        <v>134</v>
      </c>
      <c r="P46" s="70">
        <v>6</v>
      </c>
      <c r="Q46" s="70" t="s">
        <v>32</v>
      </c>
      <c r="R46" s="71">
        <v>295.41000000000003</v>
      </c>
      <c r="S46" s="70">
        <v>343</v>
      </c>
      <c r="T46" s="71">
        <v>240.1</v>
      </c>
      <c r="U46" s="70">
        <v>100</v>
      </c>
      <c r="V46" s="70">
        <v>22</v>
      </c>
      <c r="W46" s="70">
        <v>54</v>
      </c>
      <c r="X46" s="71">
        <v>1573.1</v>
      </c>
      <c r="Y46" s="71">
        <v>722.28</v>
      </c>
      <c r="Z46" s="71">
        <v>1111.2</v>
      </c>
      <c r="AA46" s="71">
        <v>944.5200000000001</v>
      </c>
      <c r="AB46" s="71">
        <v>1389</v>
      </c>
      <c r="AC46" s="71">
        <v>1666.8</v>
      </c>
    </row>
    <row r="47" spans="1:29" x14ac:dyDescent="0.25">
      <c r="A47" s="69" t="s">
        <v>77</v>
      </c>
      <c r="B47" s="70">
        <v>10</v>
      </c>
      <c r="C47" s="70" t="s">
        <v>29</v>
      </c>
      <c r="D47" s="71">
        <v>23</v>
      </c>
      <c r="E47" s="70" t="s">
        <v>30</v>
      </c>
      <c r="F47" s="70" t="s">
        <v>39</v>
      </c>
      <c r="G47" s="72">
        <v>6433</v>
      </c>
      <c r="H47" s="70" t="s">
        <v>44</v>
      </c>
      <c r="I47" s="70">
        <v>132</v>
      </c>
      <c r="J47" s="70">
        <v>399</v>
      </c>
      <c r="K47" s="70">
        <v>50</v>
      </c>
      <c r="L47" s="70">
        <v>250</v>
      </c>
      <c r="M47" s="70">
        <v>134</v>
      </c>
      <c r="N47" s="70">
        <v>0</v>
      </c>
      <c r="O47" s="70">
        <v>134</v>
      </c>
      <c r="P47" s="70">
        <v>6</v>
      </c>
      <c r="Q47" s="70" t="s">
        <v>34</v>
      </c>
      <c r="R47" s="71">
        <v>295.41000000000003</v>
      </c>
      <c r="S47" s="70">
        <v>343</v>
      </c>
      <c r="T47" s="71">
        <v>240.1</v>
      </c>
      <c r="U47" s="70">
        <v>100</v>
      </c>
      <c r="V47" s="70">
        <v>25</v>
      </c>
      <c r="W47" s="70">
        <v>57</v>
      </c>
      <c r="X47" s="71">
        <v>1527.1</v>
      </c>
      <c r="Y47" s="71">
        <v>836.29000000000008</v>
      </c>
      <c r="Z47" s="71">
        <v>1286.6000000000001</v>
      </c>
      <c r="AA47" s="71">
        <v>1093.6100000000001</v>
      </c>
      <c r="AB47" s="71">
        <v>1608.25</v>
      </c>
      <c r="AC47" s="71">
        <v>1929.8999999999999</v>
      </c>
    </row>
    <row r="48" spans="1:29" x14ac:dyDescent="0.25">
      <c r="A48" s="69" t="s">
        <v>77</v>
      </c>
      <c r="B48" s="70">
        <v>10</v>
      </c>
      <c r="C48" s="70" t="s">
        <v>37</v>
      </c>
      <c r="D48" s="71">
        <v>12.9</v>
      </c>
      <c r="E48" s="70" t="s">
        <v>30</v>
      </c>
      <c r="F48" s="70" t="s">
        <v>39</v>
      </c>
      <c r="G48" s="72">
        <v>3456</v>
      </c>
      <c r="H48" s="70" t="s">
        <v>47</v>
      </c>
      <c r="I48" s="70">
        <v>132</v>
      </c>
      <c r="J48" s="70">
        <v>400</v>
      </c>
      <c r="K48" s="70">
        <v>50</v>
      </c>
      <c r="L48" s="70">
        <v>250</v>
      </c>
      <c r="M48" s="70">
        <v>128</v>
      </c>
      <c r="N48" s="70">
        <v>65</v>
      </c>
      <c r="O48" s="70">
        <v>134</v>
      </c>
      <c r="P48" s="70">
        <v>6</v>
      </c>
      <c r="Q48" s="70" t="s">
        <v>74</v>
      </c>
      <c r="R48" s="71">
        <v>295.41000000000003</v>
      </c>
      <c r="S48" s="70">
        <v>343</v>
      </c>
      <c r="T48" s="71">
        <v>240.1</v>
      </c>
      <c r="U48" s="70">
        <v>100</v>
      </c>
      <c r="V48" s="70">
        <v>24</v>
      </c>
      <c r="W48" s="70">
        <v>56</v>
      </c>
      <c r="X48" s="71">
        <v>1585.1</v>
      </c>
      <c r="Y48" s="71">
        <v>449.28000000000003</v>
      </c>
      <c r="Z48" s="71">
        <v>691.2</v>
      </c>
      <c r="AA48" s="71">
        <v>587.5200000000001</v>
      </c>
      <c r="AB48" s="71">
        <v>864</v>
      </c>
      <c r="AC48" s="71">
        <v>1036.8</v>
      </c>
    </row>
    <row r="49" spans="1:29" x14ac:dyDescent="0.25">
      <c r="A49" s="69" t="s">
        <v>77</v>
      </c>
      <c r="B49" s="70">
        <v>11</v>
      </c>
      <c r="C49" s="70" t="s">
        <v>29</v>
      </c>
      <c r="D49" s="71">
        <v>13</v>
      </c>
      <c r="E49" s="70" t="s">
        <v>30</v>
      </c>
      <c r="F49" s="70" t="s">
        <v>39</v>
      </c>
      <c r="G49" s="72">
        <v>6433</v>
      </c>
      <c r="H49" s="70" t="s">
        <v>44</v>
      </c>
      <c r="I49" s="70">
        <v>132</v>
      </c>
      <c r="J49" s="70">
        <v>399</v>
      </c>
      <c r="K49" s="70">
        <v>50</v>
      </c>
      <c r="L49" s="70">
        <v>250</v>
      </c>
      <c r="M49" s="70">
        <v>134</v>
      </c>
      <c r="N49" s="70">
        <v>0</v>
      </c>
      <c r="O49" s="70">
        <v>134</v>
      </c>
      <c r="P49" s="70">
        <v>6</v>
      </c>
      <c r="Q49" s="70" t="s">
        <v>34</v>
      </c>
      <c r="R49" s="71">
        <v>295.41000000000003</v>
      </c>
      <c r="S49" s="70">
        <v>343</v>
      </c>
      <c r="T49" s="71">
        <v>240.1</v>
      </c>
      <c r="U49" s="70">
        <v>100</v>
      </c>
      <c r="V49" s="70">
        <v>25</v>
      </c>
      <c r="W49" s="70">
        <v>57</v>
      </c>
      <c r="X49" s="71">
        <v>1527.1</v>
      </c>
      <c r="Y49" s="71">
        <v>836.29000000000008</v>
      </c>
      <c r="Z49" s="71">
        <v>1286.6000000000001</v>
      </c>
      <c r="AA49" s="71">
        <v>1093.6100000000001</v>
      </c>
      <c r="AB49" s="71">
        <v>1608.25</v>
      </c>
      <c r="AC49" s="71">
        <v>1929.8999999999999</v>
      </c>
    </row>
    <row r="50" spans="1:29" x14ac:dyDescent="0.25">
      <c r="A50" s="69" t="s">
        <v>77</v>
      </c>
      <c r="B50" s="70">
        <v>28</v>
      </c>
      <c r="C50" s="70" t="s">
        <v>37</v>
      </c>
      <c r="D50" s="71">
        <v>14</v>
      </c>
      <c r="E50" s="70" t="s">
        <v>30</v>
      </c>
      <c r="F50" s="70" t="s">
        <v>39</v>
      </c>
      <c r="G50" s="72">
        <v>3456</v>
      </c>
      <c r="H50" s="70" t="s">
        <v>47</v>
      </c>
      <c r="I50" s="70">
        <v>132</v>
      </c>
      <c r="J50" s="70">
        <v>400</v>
      </c>
      <c r="K50" s="70">
        <v>50</v>
      </c>
      <c r="L50" s="70">
        <v>250</v>
      </c>
      <c r="M50" s="70">
        <v>128</v>
      </c>
      <c r="N50" s="70">
        <v>0</v>
      </c>
      <c r="O50" s="70">
        <v>134</v>
      </c>
      <c r="P50" s="70">
        <v>6</v>
      </c>
      <c r="Q50" s="70" t="s">
        <v>74</v>
      </c>
      <c r="R50" s="71">
        <v>295.41000000000003</v>
      </c>
      <c r="S50" s="70">
        <v>343</v>
      </c>
      <c r="T50" s="71">
        <v>240.1</v>
      </c>
      <c r="U50" s="70">
        <v>100</v>
      </c>
      <c r="V50" s="70">
        <v>24</v>
      </c>
      <c r="W50" s="70">
        <v>56</v>
      </c>
      <c r="X50" s="71">
        <v>1520.1</v>
      </c>
      <c r="Y50" s="71">
        <v>449.28000000000003</v>
      </c>
      <c r="Z50" s="71">
        <v>691.2</v>
      </c>
      <c r="AA50" s="71">
        <v>587.5200000000001</v>
      </c>
      <c r="AB50" s="71">
        <v>864</v>
      </c>
      <c r="AC50" s="71">
        <v>1036.8</v>
      </c>
    </row>
    <row r="51" spans="1:29" x14ac:dyDescent="0.25">
      <c r="A51" s="69" t="s">
        <v>77</v>
      </c>
      <c r="B51" s="70">
        <v>28</v>
      </c>
      <c r="C51" s="70" t="s">
        <v>37</v>
      </c>
      <c r="D51" s="71">
        <v>15</v>
      </c>
      <c r="E51" s="70" t="s">
        <v>30</v>
      </c>
      <c r="F51" s="70" t="s">
        <v>39</v>
      </c>
      <c r="G51" s="72">
        <v>3456</v>
      </c>
      <c r="H51" s="70" t="s">
        <v>47</v>
      </c>
      <c r="I51" s="70">
        <v>132</v>
      </c>
      <c r="J51" s="70">
        <v>400</v>
      </c>
      <c r="K51" s="70">
        <v>50</v>
      </c>
      <c r="L51" s="70">
        <v>250</v>
      </c>
      <c r="M51" s="70">
        <v>128</v>
      </c>
      <c r="N51" s="70">
        <v>0</v>
      </c>
      <c r="O51" s="70">
        <v>134</v>
      </c>
      <c r="P51" s="70">
        <v>6</v>
      </c>
      <c r="Q51" s="70" t="s">
        <v>74</v>
      </c>
      <c r="R51" s="71">
        <v>295.41000000000003</v>
      </c>
      <c r="S51" s="70">
        <v>343</v>
      </c>
      <c r="T51" s="71">
        <v>240.1</v>
      </c>
      <c r="U51" s="70">
        <v>100</v>
      </c>
      <c r="V51" s="70">
        <v>24</v>
      </c>
      <c r="W51" s="70">
        <v>56</v>
      </c>
      <c r="X51" s="71">
        <v>1520.1</v>
      </c>
      <c r="Y51" s="71">
        <v>449.28000000000003</v>
      </c>
      <c r="Z51" s="71">
        <v>691.2</v>
      </c>
      <c r="AA51" s="71">
        <v>587.5200000000001</v>
      </c>
      <c r="AB51" s="71">
        <v>864</v>
      </c>
      <c r="AC51" s="71">
        <v>1036.8</v>
      </c>
    </row>
    <row r="52" spans="1:29" x14ac:dyDescent="0.25">
      <c r="A52" s="69" t="s">
        <v>77</v>
      </c>
      <c r="B52" s="70">
        <v>29</v>
      </c>
      <c r="C52" s="70" t="s">
        <v>37</v>
      </c>
      <c r="D52" s="71">
        <v>16</v>
      </c>
      <c r="E52" s="70" t="s">
        <v>30</v>
      </c>
      <c r="F52" s="70" t="s">
        <v>39</v>
      </c>
      <c r="G52" s="72">
        <v>3456</v>
      </c>
      <c r="H52" s="70" t="s">
        <v>47</v>
      </c>
      <c r="I52" s="70">
        <v>132</v>
      </c>
      <c r="J52" s="70">
        <v>400</v>
      </c>
      <c r="K52" s="70">
        <v>50</v>
      </c>
      <c r="L52" s="70">
        <v>250</v>
      </c>
      <c r="M52" s="70">
        <v>128</v>
      </c>
      <c r="N52" s="70">
        <v>0</v>
      </c>
      <c r="O52" s="70">
        <v>134</v>
      </c>
      <c r="P52" s="70">
        <v>6</v>
      </c>
      <c r="Q52" s="70" t="s">
        <v>74</v>
      </c>
      <c r="R52" s="71">
        <v>295.41000000000003</v>
      </c>
      <c r="S52" s="70">
        <v>343</v>
      </c>
      <c r="T52" s="71">
        <v>240.1</v>
      </c>
      <c r="U52" s="70">
        <v>100</v>
      </c>
      <c r="V52" s="70">
        <v>24</v>
      </c>
      <c r="W52" s="70">
        <v>56</v>
      </c>
      <c r="X52" s="71">
        <v>1520.1</v>
      </c>
      <c r="Y52" s="71">
        <v>449.28000000000003</v>
      </c>
      <c r="Z52" s="71">
        <v>691.2</v>
      </c>
      <c r="AA52" s="71">
        <v>587.5200000000001</v>
      </c>
      <c r="AB52" s="71">
        <v>864</v>
      </c>
      <c r="AC52" s="71">
        <v>1036.8</v>
      </c>
    </row>
    <row r="53" spans="1:29" x14ac:dyDescent="0.25">
      <c r="A53" s="69" t="s">
        <v>77</v>
      </c>
      <c r="B53" s="70">
        <v>1</v>
      </c>
      <c r="C53" s="70" t="s">
        <v>29</v>
      </c>
      <c r="D53" s="71">
        <v>21</v>
      </c>
      <c r="E53" s="70" t="s">
        <v>30</v>
      </c>
      <c r="F53" s="70" t="s">
        <v>39</v>
      </c>
      <c r="G53" s="72">
        <v>5556</v>
      </c>
      <c r="H53" s="70" t="s">
        <v>31</v>
      </c>
      <c r="I53" s="70">
        <v>132</v>
      </c>
      <c r="J53" s="70">
        <v>400</v>
      </c>
      <c r="K53" s="70">
        <v>50</v>
      </c>
      <c r="L53" s="70">
        <v>250</v>
      </c>
      <c r="M53" s="70">
        <v>120</v>
      </c>
      <c r="N53" s="70">
        <v>65</v>
      </c>
      <c r="O53" s="70">
        <v>134</v>
      </c>
      <c r="P53" s="70">
        <v>6</v>
      </c>
      <c r="Q53" s="70" t="s">
        <v>32</v>
      </c>
      <c r="R53" s="71">
        <v>295.41000000000003</v>
      </c>
      <c r="S53" s="70">
        <v>343</v>
      </c>
      <c r="T53" s="71">
        <v>240.1</v>
      </c>
      <c r="U53" s="70">
        <v>100</v>
      </c>
      <c r="V53" s="70">
        <v>22</v>
      </c>
      <c r="W53" s="70">
        <v>54</v>
      </c>
      <c r="X53" s="71">
        <v>1573.1</v>
      </c>
      <c r="Y53" s="71">
        <v>722.28</v>
      </c>
      <c r="Z53" s="71">
        <v>1111.2</v>
      </c>
      <c r="AA53" s="71">
        <v>944.5200000000001</v>
      </c>
      <c r="AB53" s="71">
        <v>1389</v>
      </c>
      <c r="AC53" s="71">
        <v>1666.8</v>
      </c>
    </row>
    <row r="54" spans="1:29" x14ac:dyDescent="0.25">
      <c r="A54" s="69" t="s">
        <v>77</v>
      </c>
      <c r="B54" s="70">
        <v>2</v>
      </c>
      <c r="C54" s="70" t="s">
        <v>29</v>
      </c>
      <c r="D54" s="71">
        <v>22</v>
      </c>
      <c r="E54" s="70" t="s">
        <v>30</v>
      </c>
      <c r="F54" s="70" t="s">
        <v>39</v>
      </c>
      <c r="G54" s="72">
        <v>5556</v>
      </c>
      <c r="H54" s="70" t="s">
        <v>31</v>
      </c>
      <c r="I54" s="70">
        <v>132</v>
      </c>
      <c r="J54" s="70">
        <v>400</v>
      </c>
      <c r="K54" s="70">
        <v>50</v>
      </c>
      <c r="L54" s="70">
        <v>250</v>
      </c>
      <c r="M54" s="70">
        <v>120</v>
      </c>
      <c r="N54" s="70">
        <v>65</v>
      </c>
      <c r="O54" s="70">
        <v>134</v>
      </c>
      <c r="P54" s="70">
        <v>6</v>
      </c>
      <c r="Q54" s="70" t="s">
        <v>32</v>
      </c>
      <c r="R54" s="71">
        <v>295.41000000000003</v>
      </c>
      <c r="S54" s="70">
        <v>343</v>
      </c>
      <c r="T54" s="71">
        <v>240.1</v>
      </c>
      <c r="U54" s="70">
        <v>100</v>
      </c>
      <c r="V54" s="70">
        <v>22</v>
      </c>
      <c r="W54" s="70">
        <v>54</v>
      </c>
      <c r="X54" s="71">
        <v>1573.1</v>
      </c>
      <c r="Y54" s="71">
        <v>722.28</v>
      </c>
      <c r="Z54" s="71">
        <v>1111.2</v>
      </c>
      <c r="AA54" s="71">
        <v>944.5200000000001</v>
      </c>
      <c r="AB54" s="71">
        <v>1389</v>
      </c>
      <c r="AC54" s="71">
        <v>1666.8</v>
      </c>
    </row>
    <row r="55" spans="1:29" x14ac:dyDescent="0.25">
      <c r="A55" s="69" t="s">
        <v>79</v>
      </c>
      <c r="B55" s="70">
        <v>29</v>
      </c>
      <c r="C55" s="70" t="s">
        <v>40</v>
      </c>
      <c r="D55" s="71">
        <v>18</v>
      </c>
      <c r="E55" s="70" t="s">
        <v>30</v>
      </c>
      <c r="F55" s="70" t="s">
        <v>39</v>
      </c>
      <c r="G55" s="72">
        <v>4782</v>
      </c>
      <c r="H55" s="70" t="s">
        <v>47</v>
      </c>
      <c r="I55" s="70">
        <v>132</v>
      </c>
      <c r="J55" s="70">
        <v>400</v>
      </c>
      <c r="K55" s="70">
        <v>50</v>
      </c>
      <c r="L55" s="70">
        <v>250</v>
      </c>
      <c r="M55" s="70">
        <v>120</v>
      </c>
      <c r="N55" s="70">
        <v>65</v>
      </c>
      <c r="O55" s="70">
        <v>134</v>
      </c>
      <c r="P55" s="70">
        <v>6</v>
      </c>
      <c r="Q55" s="70" t="s">
        <v>74</v>
      </c>
      <c r="R55" s="71">
        <v>295.41000000000003</v>
      </c>
      <c r="S55" s="70">
        <v>399</v>
      </c>
      <c r="T55" s="71">
        <v>279.29999999999995</v>
      </c>
      <c r="U55" s="70">
        <v>100</v>
      </c>
      <c r="V55" s="70">
        <v>25</v>
      </c>
      <c r="W55" s="70">
        <v>57</v>
      </c>
      <c r="X55" s="71">
        <v>1618.3</v>
      </c>
      <c r="Y55" s="71">
        <v>621.66</v>
      </c>
      <c r="Z55" s="71">
        <v>956.40000000000009</v>
      </c>
      <c r="AA55" s="71">
        <v>812.94</v>
      </c>
      <c r="AB55" s="71">
        <v>1195.5</v>
      </c>
      <c r="AC55" s="71">
        <v>1434.6</v>
      </c>
    </row>
    <row r="56" spans="1:29" x14ac:dyDescent="0.25">
      <c r="A56" s="69" t="s">
        <v>79</v>
      </c>
      <c r="B56" s="70">
        <v>11</v>
      </c>
      <c r="C56" s="70" t="s">
        <v>40</v>
      </c>
      <c r="D56" s="71">
        <v>17</v>
      </c>
      <c r="E56" s="70" t="s">
        <v>30</v>
      </c>
      <c r="F56" s="70" t="s">
        <v>39</v>
      </c>
      <c r="G56" s="72">
        <v>4782</v>
      </c>
      <c r="H56" s="70" t="s">
        <v>47</v>
      </c>
      <c r="I56" s="70">
        <v>132</v>
      </c>
      <c r="J56" s="70">
        <v>400</v>
      </c>
      <c r="K56" s="70">
        <v>50</v>
      </c>
      <c r="L56" s="70">
        <v>250</v>
      </c>
      <c r="M56" s="70">
        <v>120</v>
      </c>
      <c r="N56" s="70">
        <v>65</v>
      </c>
      <c r="O56" s="70">
        <v>134</v>
      </c>
      <c r="P56" s="70">
        <v>6</v>
      </c>
      <c r="Q56" s="70" t="s">
        <v>74</v>
      </c>
      <c r="R56" s="71">
        <v>295.41000000000003</v>
      </c>
      <c r="S56" s="70">
        <v>399</v>
      </c>
      <c r="T56" s="71">
        <v>279.29999999999995</v>
      </c>
      <c r="U56" s="70">
        <v>100</v>
      </c>
      <c r="V56" s="70">
        <v>25</v>
      </c>
      <c r="W56" s="70">
        <v>57</v>
      </c>
      <c r="X56" s="71">
        <v>1618.3</v>
      </c>
      <c r="Y56" s="71">
        <v>621.66</v>
      </c>
      <c r="Z56" s="71">
        <v>956.40000000000009</v>
      </c>
      <c r="AA56" s="71">
        <v>812.94</v>
      </c>
      <c r="AB56" s="71">
        <v>1195.5</v>
      </c>
      <c r="AC56" s="71">
        <v>1434.6</v>
      </c>
    </row>
    <row r="57" spans="1:29" x14ac:dyDescent="0.25">
      <c r="A57" s="69" t="s">
        <v>79</v>
      </c>
      <c r="B57" s="70">
        <v>23</v>
      </c>
      <c r="C57" s="70" t="s">
        <v>40</v>
      </c>
      <c r="D57" s="71">
        <v>18</v>
      </c>
      <c r="E57" s="70" t="s">
        <v>30</v>
      </c>
      <c r="F57" s="70" t="s">
        <v>39</v>
      </c>
      <c r="G57" s="72">
        <v>4782</v>
      </c>
      <c r="H57" s="70" t="s">
        <v>47</v>
      </c>
      <c r="I57" s="70">
        <v>132</v>
      </c>
      <c r="J57" s="70">
        <v>400</v>
      </c>
      <c r="K57" s="70">
        <v>50</v>
      </c>
      <c r="L57" s="70">
        <v>250</v>
      </c>
      <c r="M57" s="70">
        <v>120</v>
      </c>
      <c r="N57" s="70">
        <v>65</v>
      </c>
      <c r="O57" s="70">
        <v>134</v>
      </c>
      <c r="P57" s="70">
        <v>6</v>
      </c>
      <c r="Q57" s="70" t="s">
        <v>74</v>
      </c>
      <c r="R57" s="71">
        <v>295.41000000000003</v>
      </c>
      <c r="S57" s="70">
        <v>399</v>
      </c>
      <c r="T57" s="71">
        <v>279.29999999999995</v>
      </c>
      <c r="U57" s="70">
        <v>100</v>
      </c>
      <c r="V57" s="70">
        <v>25</v>
      </c>
      <c r="W57" s="70">
        <v>57</v>
      </c>
      <c r="X57" s="71">
        <v>1618.3</v>
      </c>
      <c r="Y57" s="71">
        <v>621.66</v>
      </c>
      <c r="Z57" s="71">
        <v>956.40000000000009</v>
      </c>
      <c r="AA57" s="71">
        <v>812.94</v>
      </c>
      <c r="AB57" s="71">
        <v>1195.5</v>
      </c>
      <c r="AC57" s="71">
        <v>1434.6</v>
      </c>
    </row>
    <row r="58" spans="1:29" x14ac:dyDescent="0.25">
      <c r="A58" s="69" t="s">
        <v>79</v>
      </c>
      <c r="B58" s="70">
        <v>23</v>
      </c>
      <c r="C58" s="70" t="s">
        <v>40</v>
      </c>
      <c r="D58" s="71">
        <v>18</v>
      </c>
      <c r="E58" s="70" t="s">
        <v>30</v>
      </c>
      <c r="F58" s="70" t="s">
        <v>39</v>
      </c>
      <c r="G58" s="72">
        <v>4782</v>
      </c>
      <c r="H58" s="70" t="s">
        <v>47</v>
      </c>
      <c r="I58" s="70">
        <v>132</v>
      </c>
      <c r="J58" s="70">
        <v>400</v>
      </c>
      <c r="K58" s="70">
        <v>50</v>
      </c>
      <c r="L58" s="70">
        <v>250</v>
      </c>
      <c r="M58" s="70">
        <v>120</v>
      </c>
      <c r="N58" s="70">
        <v>65</v>
      </c>
      <c r="O58" s="70">
        <v>134</v>
      </c>
      <c r="P58" s="70">
        <v>6</v>
      </c>
      <c r="Q58" s="70" t="s">
        <v>74</v>
      </c>
      <c r="R58" s="71">
        <v>295.41000000000003</v>
      </c>
      <c r="S58" s="70">
        <v>399</v>
      </c>
      <c r="T58" s="71">
        <v>279.29999999999995</v>
      </c>
      <c r="U58" s="70">
        <v>100</v>
      </c>
      <c r="V58" s="70">
        <v>25</v>
      </c>
      <c r="W58" s="70">
        <v>57</v>
      </c>
      <c r="X58" s="71">
        <v>1618.3</v>
      </c>
      <c r="Y58" s="71">
        <v>621.66</v>
      </c>
      <c r="Z58" s="71">
        <v>956.40000000000009</v>
      </c>
      <c r="AA58" s="71">
        <v>812.94</v>
      </c>
      <c r="AB58" s="71">
        <v>1195.5</v>
      </c>
      <c r="AC58" s="71">
        <v>1434.6</v>
      </c>
    </row>
    <row r="59" spans="1:29" x14ac:dyDescent="0.25">
      <c r="A59" s="69" t="s">
        <v>79</v>
      </c>
      <c r="B59" s="70">
        <v>29</v>
      </c>
      <c r="C59" s="70" t="s">
        <v>40</v>
      </c>
      <c r="D59" s="71">
        <v>18</v>
      </c>
      <c r="E59" s="70" t="s">
        <v>30</v>
      </c>
      <c r="F59" s="70" t="s">
        <v>39</v>
      </c>
      <c r="G59" s="72">
        <v>4782</v>
      </c>
      <c r="H59" s="70" t="s">
        <v>47</v>
      </c>
      <c r="I59" s="70">
        <v>132</v>
      </c>
      <c r="J59" s="70">
        <v>400</v>
      </c>
      <c r="K59" s="70">
        <v>50</v>
      </c>
      <c r="L59" s="70">
        <v>250</v>
      </c>
      <c r="M59" s="70">
        <v>120</v>
      </c>
      <c r="N59" s="70">
        <v>65</v>
      </c>
      <c r="O59" s="70">
        <v>134</v>
      </c>
      <c r="P59" s="70">
        <v>6</v>
      </c>
      <c r="Q59" s="70" t="s">
        <v>74</v>
      </c>
      <c r="R59" s="71">
        <v>295.41000000000003</v>
      </c>
      <c r="S59" s="70">
        <v>399</v>
      </c>
      <c r="T59" s="71">
        <v>279.29999999999995</v>
      </c>
      <c r="U59" s="70">
        <v>100</v>
      </c>
      <c r="V59" s="70">
        <v>25</v>
      </c>
      <c r="W59" s="70">
        <v>57</v>
      </c>
      <c r="X59" s="71">
        <v>1618.3</v>
      </c>
      <c r="Y59" s="71">
        <v>621.66</v>
      </c>
      <c r="Z59" s="71">
        <v>956.40000000000009</v>
      </c>
      <c r="AA59" s="71">
        <v>812.94</v>
      </c>
      <c r="AB59" s="71">
        <v>1195.5</v>
      </c>
      <c r="AC59" s="71">
        <v>1434.6</v>
      </c>
    </row>
    <row r="60" spans="1:29" x14ac:dyDescent="0.25">
      <c r="A60" s="69" t="s">
        <v>80</v>
      </c>
      <c r="B60" s="70">
        <v>12</v>
      </c>
      <c r="C60" s="70" t="s">
        <v>29</v>
      </c>
      <c r="D60" s="71">
        <v>12.9</v>
      </c>
      <c r="E60" s="70" t="s">
        <v>30</v>
      </c>
      <c r="F60" s="70" t="s">
        <v>39</v>
      </c>
      <c r="G60" s="72">
        <v>5287</v>
      </c>
      <c r="H60" s="70" t="s">
        <v>47</v>
      </c>
      <c r="I60" s="70">
        <v>132</v>
      </c>
      <c r="J60" s="70">
        <v>400</v>
      </c>
      <c r="K60" s="70">
        <v>50</v>
      </c>
      <c r="L60" s="70">
        <v>250</v>
      </c>
      <c r="M60" s="70">
        <v>134</v>
      </c>
      <c r="N60" s="70">
        <v>0</v>
      </c>
      <c r="O60" s="70">
        <v>134</v>
      </c>
      <c r="P60" s="70">
        <v>6</v>
      </c>
      <c r="Q60" s="70" t="s">
        <v>74</v>
      </c>
      <c r="R60" s="71">
        <v>295.41000000000003</v>
      </c>
      <c r="S60" s="70">
        <v>343</v>
      </c>
      <c r="T60" s="71">
        <v>240.1</v>
      </c>
      <c r="U60" s="70">
        <v>100</v>
      </c>
      <c r="V60" s="70">
        <v>26</v>
      </c>
      <c r="W60" s="70">
        <v>58</v>
      </c>
      <c r="X60" s="71">
        <v>1530.1</v>
      </c>
      <c r="Y60" s="71">
        <v>687.31000000000006</v>
      </c>
      <c r="Z60" s="71">
        <v>1057.4000000000001</v>
      </c>
      <c r="AA60" s="71">
        <v>898.79000000000008</v>
      </c>
      <c r="AB60" s="71">
        <v>1321.75</v>
      </c>
      <c r="AC60" s="71">
        <v>1586.1</v>
      </c>
    </row>
    <row r="61" spans="1:29" x14ac:dyDescent="0.25">
      <c r="A61" s="69" t="s">
        <v>80</v>
      </c>
      <c r="B61" s="70">
        <v>24</v>
      </c>
      <c r="C61" s="70" t="s">
        <v>29</v>
      </c>
      <c r="D61" s="71">
        <v>18</v>
      </c>
      <c r="E61" s="70" t="s">
        <v>30</v>
      </c>
      <c r="F61" s="70" t="s">
        <v>39</v>
      </c>
      <c r="G61" s="72">
        <v>5287</v>
      </c>
      <c r="H61" s="70" t="s">
        <v>47</v>
      </c>
      <c r="I61" s="70">
        <v>132</v>
      </c>
      <c r="J61" s="70">
        <v>400</v>
      </c>
      <c r="K61" s="70">
        <v>50</v>
      </c>
      <c r="L61" s="70">
        <v>250</v>
      </c>
      <c r="M61" s="70">
        <v>134</v>
      </c>
      <c r="N61" s="70">
        <v>0</v>
      </c>
      <c r="O61" s="70">
        <v>134</v>
      </c>
      <c r="P61" s="70">
        <v>6</v>
      </c>
      <c r="Q61" s="70" t="s">
        <v>74</v>
      </c>
      <c r="R61" s="71">
        <v>295.41000000000003</v>
      </c>
      <c r="S61" s="70">
        <v>343</v>
      </c>
      <c r="T61" s="71">
        <v>240.1</v>
      </c>
      <c r="U61" s="70">
        <v>100</v>
      </c>
      <c r="V61" s="70">
        <v>26</v>
      </c>
      <c r="W61" s="70">
        <v>58</v>
      </c>
      <c r="X61" s="71">
        <v>1530.1</v>
      </c>
      <c r="Y61" s="71">
        <v>687.31000000000006</v>
      </c>
      <c r="Z61" s="71">
        <v>1057.4000000000001</v>
      </c>
      <c r="AA61" s="71">
        <v>898.79000000000008</v>
      </c>
      <c r="AB61" s="71">
        <v>1321.75</v>
      </c>
      <c r="AC61" s="71">
        <v>1586.1</v>
      </c>
    </row>
    <row r="62" spans="1:29" x14ac:dyDescent="0.25">
      <c r="A62" s="69" t="s">
        <v>80</v>
      </c>
      <c r="B62" s="70">
        <v>25</v>
      </c>
      <c r="C62" s="70" t="s">
        <v>29</v>
      </c>
      <c r="D62" s="71">
        <v>18</v>
      </c>
      <c r="E62" s="70" t="s">
        <v>30</v>
      </c>
      <c r="F62" s="70" t="s">
        <v>39</v>
      </c>
      <c r="G62" s="72">
        <v>5287</v>
      </c>
      <c r="H62" s="70" t="s">
        <v>47</v>
      </c>
      <c r="I62" s="70">
        <v>132</v>
      </c>
      <c r="J62" s="70">
        <v>400</v>
      </c>
      <c r="K62" s="70">
        <v>50</v>
      </c>
      <c r="L62" s="70">
        <v>250</v>
      </c>
      <c r="M62" s="70">
        <v>134</v>
      </c>
      <c r="N62" s="70">
        <v>0</v>
      </c>
      <c r="O62" s="70">
        <v>134</v>
      </c>
      <c r="P62" s="70">
        <v>6</v>
      </c>
      <c r="Q62" s="70" t="s">
        <v>74</v>
      </c>
      <c r="R62" s="71">
        <v>295.41000000000003</v>
      </c>
      <c r="S62" s="70">
        <v>343</v>
      </c>
      <c r="T62" s="71">
        <v>240.1</v>
      </c>
      <c r="U62" s="70">
        <v>100</v>
      </c>
      <c r="V62" s="70">
        <v>26</v>
      </c>
      <c r="W62" s="70">
        <v>58</v>
      </c>
      <c r="X62" s="71">
        <v>1530.1</v>
      </c>
      <c r="Y62" s="71">
        <v>687.31000000000006</v>
      </c>
      <c r="Z62" s="71">
        <v>1057.4000000000001</v>
      </c>
      <c r="AA62" s="71">
        <v>898.79000000000008</v>
      </c>
      <c r="AB62" s="71">
        <v>1321.75</v>
      </c>
      <c r="AC62" s="71">
        <v>1586.1</v>
      </c>
    </row>
    <row r="63" spans="1:29" x14ac:dyDescent="0.25">
      <c r="H63" s="70"/>
      <c r="I63" s="70"/>
      <c r="J63" s="70"/>
      <c r="K63" s="70"/>
      <c r="L63" s="70"/>
      <c r="M63" s="70"/>
      <c r="N63" s="70"/>
      <c r="O63" s="70"/>
      <c r="P63" s="70"/>
      <c r="Q63" s="71"/>
      <c r="R63" s="70"/>
      <c r="S63" s="71"/>
      <c r="T63" s="70"/>
      <c r="U63" s="70"/>
      <c r="V63" s="70"/>
    </row>
    <row r="64" spans="1:29" x14ac:dyDescent="0.25">
      <c r="H64" s="70"/>
      <c r="I64" s="70"/>
      <c r="J64" s="70"/>
      <c r="K64" s="70"/>
      <c r="L64" s="70"/>
      <c r="M64" s="70"/>
      <c r="N64" s="70"/>
      <c r="O64" s="70"/>
      <c r="P64" s="70"/>
      <c r="Q64" s="71"/>
      <c r="R64" s="70"/>
      <c r="S64" s="71"/>
      <c r="T64" s="70"/>
      <c r="U64" s="70"/>
      <c r="V64" s="70"/>
    </row>
    <row r="65" spans="7:29" x14ac:dyDescent="0.25">
      <c r="G65" s="19"/>
      <c r="H65" s="70"/>
      <c r="I65" s="70"/>
      <c r="J65" s="70"/>
      <c r="K65" s="70"/>
      <c r="L65" s="70"/>
      <c r="M65" s="70"/>
      <c r="N65" s="70"/>
      <c r="O65" s="70"/>
      <c r="P65" s="70"/>
      <c r="Q65" s="71"/>
      <c r="R65" s="70"/>
      <c r="S65" s="71"/>
      <c r="T65" s="70"/>
      <c r="U65" s="70"/>
      <c r="V65" s="70"/>
      <c r="AC65" s="78">
        <f>SUM(AC1:AC62)</f>
        <v>107711.40000000004</v>
      </c>
    </row>
    <row r="66" spans="7:29" x14ac:dyDescent="0.25">
      <c r="H66" s="70"/>
      <c r="I66" s="70"/>
      <c r="J66" s="70"/>
      <c r="K66" s="70"/>
      <c r="L66" s="70"/>
      <c r="M66" s="70"/>
      <c r="N66" s="70"/>
      <c r="O66" s="70"/>
      <c r="P66" s="70"/>
      <c r="Q66" s="71"/>
      <c r="R66" s="70"/>
      <c r="S66" s="71"/>
      <c r="T66" s="70"/>
      <c r="U66" s="70"/>
      <c r="V66" s="70"/>
    </row>
    <row r="67" spans="7:29" x14ac:dyDescent="0.25">
      <c r="H67" s="70"/>
      <c r="I67" s="70"/>
      <c r="J67" s="70"/>
      <c r="K67" s="70"/>
      <c r="L67" s="70"/>
      <c r="M67" s="70"/>
      <c r="N67" s="70"/>
      <c r="O67" s="70"/>
      <c r="P67" s="70"/>
      <c r="Q67" s="71"/>
      <c r="R67" s="70"/>
      <c r="S67" s="71"/>
      <c r="T67" s="70"/>
      <c r="U67" s="70"/>
      <c r="V67" s="70"/>
    </row>
    <row r="68" spans="7:29" x14ac:dyDescent="0.25">
      <c r="H68" s="70"/>
      <c r="I68" s="70"/>
      <c r="J68" s="70"/>
      <c r="K68" s="70"/>
      <c r="L68" s="70"/>
      <c r="M68" s="70"/>
      <c r="N68" s="70"/>
      <c r="O68" s="70"/>
      <c r="P68" s="70"/>
      <c r="Q68" s="71"/>
      <c r="R68" s="70"/>
      <c r="S68" s="71"/>
      <c r="T68" s="70"/>
      <c r="U68" s="70"/>
      <c r="V68" s="70"/>
    </row>
    <row r="69" spans="7:29" x14ac:dyDescent="0.25">
      <c r="H69" s="70"/>
      <c r="I69" s="70"/>
      <c r="J69" s="70"/>
      <c r="K69" s="70"/>
      <c r="L69" s="70"/>
      <c r="M69" s="70"/>
      <c r="N69" s="70"/>
      <c r="O69" s="70"/>
      <c r="P69" s="70"/>
      <c r="Q69" s="71"/>
      <c r="R69" s="70"/>
      <c r="S69" s="71"/>
      <c r="T69" s="70"/>
      <c r="U69" s="70"/>
      <c r="V69" s="70"/>
    </row>
    <row r="70" spans="7:29" x14ac:dyDescent="0.25">
      <c r="H70" s="70"/>
      <c r="I70" s="70"/>
      <c r="J70" s="70"/>
      <c r="K70" s="70"/>
      <c r="L70" s="70"/>
      <c r="M70" s="70"/>
      <c r="N70" s="70"/>
      <c r="O70" s="70"/>
      <c r="P70" s="70"/>
      <c r="Q70" s="71"/>
      <c r="R70" s="70"/>
      <c r="S70" s="71"/>
      <c r="T70" s="70"/>
      <c r="U70" s="70"/>
      <c r="V70" s="70"/>
    </row>
    <row r="71" spans="7:29" x14ac:dyDescent="0.25">
      <c r="H71" s="70"/>
      <c r="I71" s="70"/>
      <c r="J71" s="70"/>
      <c r="K71" s="70"/>
      <c r="L71" s="70"/>
      <c r="M71" s="70"/>
      <c r="N71" s="70"/>
      <c r="O71" s="70"/>
      <c r="P71" s="70"/>
      <c r="Q71" s="71"/>
      <c r="R71" s="70"/>
      <c r="S71" s="71"/>
      <c r="T71" s="70"/>
      <c r="U71" s="70"/>
      <c r="V71" s="70"/>
    </row>
    <row r="72" spans="7:29" x14ac:dyDescent="0.25">
      <c r="H72" s="70"/>
      <c r="I72" s="70"/>
      <c r="J72" s="70"/>
      <c r="K72" s="70"/>
      <c r="L72" s="70"/>
      <c r="M72" s="70"/>
      <c r="N72" s="70"/>
      <c r="O72" s="70"/>
      <c r="P72" s="70"/>
      <c r="Q72" s="71"/>
      <c r="R72" s="70"/>
      <c r="S72" s="71"/>
      <c r="T72" s="70"/>
      <c r="U72" s="70"/>
      <c r="V72" s="70"/>
    </row>
    <row r="73" spans="7:29" x14ac:dyDescent="0.25">
      <c r="H73" s="70"/>
      <c r="I73" s="70"/>
      <c r="J73" s="70"/>
      <c r="K73" s="70"/>
      <c r="L73" s="70"/>
      <c r="M73" s="70"/>
      <c r="N73" s="70"/>
      <c r="O73" s="70"/>
      <c r="P73" s="70"/>
      <c r="Q73" s="71"/>
      <c r="R73" s="70"/>
      <c r="S73" s="71"/>
      <c r="T73" s="70"/>
      <c r="U73" s="70"/>
      <c r="V73" s="70"/>
    </row>
    <row r="74" spans="7:29" x14ac:dyDescent="0.25">
      <c r="H74" s="70"/>
      <c r="I74" s="70"/>
      <c r="J74" s="70"/>
      <c r="K74" s="70"/>
      <c r="L74" s="70"/>
      <c r="M74" s="70"/>
      <c r="N74" s="70"/>
      <c r="O74" s="70"/>
      <c r="P74" s="70"/>
      <c r="Q74" s="71"/>
      <c r="R74" s="70"/>
      <c r="S74" s="71"/>
      <c r="T74" s="70"/>
      <c r="U74" s="70"/>
      <c r="V74" s="70"/>
    </row>
    <row r="75" spans="7:29" x14ac:dyDescent="0.25">
      <c r="H75" s="70"/>
      <c r="I75" s="70"/>
      <c r="J75" s="70"/>
      <c r="K75" s="70"/>
      <c r="L75" s="70"/>
      <c r="M75" s="70"/>
      <c r="N75" s="70"/>
      <c r="O75" s="70"/>
      <c r="P75" s="70"/>
      <c r="Q75" s="71"/>
      <c r="R75" s="70"/>
      <c r="S75" s="71"/>
      <c r="T75" s="70"/>
      <c r="U75" s="70"/>
      <c r="V75" s="70"/>
    </row>
    <row r="76" spans="7:29" x14ac:dyDescent="0.25">
      <c r="H76" s="70"/>
      <c r="I76" s="70"/>
      <c r="J76" s="70"/>
      <c r="K76" s="70"/>
      <c r="L76" s="70"/>
      <c r="M76" s="70"/>
      <c r="N76" s="70"/>
      <c r="O76" s="70"/>
      <c r="P76" s="70"/>
      <c r="Q76" s="71"/>
      <c r="R76" s="70"/>
      <c r="S76" s="71"/>
      <c r="T76" s="70"/>
      <c r="U76" s="70"/>
      <c r="V76" s="70"/>
    </row>
    <row r="77" spans="7:29" x14ac:dyDescent="0.25">
      <c r="H77" s="70"/>
      <c r="I77" s="70"/>
      <c r="J77" s="70"/>
      <c r="K77" s="70"/>
      <c r="L77" s="70"/>
      <c r="M77" s="70"/>
      <c r="N77" s="70"/>
      <c r="O77" s="70"/>
      <c r="P77" s="70"/>
      <c r="Q77" s="71"/>
      <c r="R77" s="70"/>
      <c r="S77" s="71"/>
      <c r="T77" s="70"/>
      <c r="U77" s="70"/>
      <c r="V77" s="70"/>
    </row>
    <row r="78" spans="7:29" x14ac:dyDescent="0.25">
      <c r="H78" s="70"/>
      <c r="I78" s="70"/>
      <c r="J78" s="70"/>
      <c r="K78" s="70"/>
      <c r="L78" s="70"/>
      <c r="M78" s="70"/>
      <c r="N78" s="70"/>
      <c r="O78" s="70"/>
      <c r="P78" s="70"/>
      <c r="Q78" s="71"/>
      <c r="R78" s="70"/>
      <c r="S78" s="71"/>
      <c r="T78" s="70"/>
      <c r="U78" s="70"/>
      <c r="V78" s="70"/>
    </row>
    <row r="79" spans="7:29" x14ac:dyDescent="0.25">
      <c r="H79" s="70"/>
      <c r="I79" s="70"/>
      <c r="J79" s="70"/>
      <c r="K79" s="70"/>
      <c r="L79" s="70"/>
      <c r="M79" s="70"/>
      <c r="N79" s="70"/>
      <c r="O79" s="70"/>
      <c r="P79" s="70"/>
      <c r="Q79" s="71"/>
      <c r="R79" s="70"/>
      <c r="S79" s="71"/>
      <c r="T79" s="70"/>
      <c r="U79" s="70"/>
      <c r="V79" s="70"/>
    </row>
    <row r="80" spans="7:29" x14ac:dyDescent="0.25">
      <c r="H80" s="70"/>
      <c r="I80" s="70"/>
      <c r="J80" s="70"/>
      <c r="K80" s="70"/>
      <c r="L80" s="70"/>
      <c r="M80" s="70"/>
      <c r="N80" s="70"/>
      <c r="O80" s="70"/>
      <c r="P80" s="70"/>
      <c r="Q80" s="71"/>
      <c r="R80" s="70"/>
      <c r="S80" s="71"/>
      <c r="T80" s="70"/>
      <c r="U80" s="70"/>
      <c r="V80" s="70"/>
    </row>
    <row r="81" spans="5:22" x14ac:dyDescent="0.25">
      <c r="H81" s="70"/>
      <c r="I81" s="70"/>
      <c r="J81" s="70"/>
      <c r="K81" s="70"/>
      <c r="L81" s="70"/>
      <c r="M81" s="70"/>
      <c r="N81" s="70"/>
      <c r="O81" s="70"/>
      <c r="P81" s="70"/>
      <c r="Q81" s="71"/>
      <c r="R81" s="70"/>
      <c r="S81" s="71"/>
      <c r="T81" s="70"/>
      <c r="U81" s="70"/>
      <c r="V81" s="70"/>
    </row>
    <row r="82" spans="5:22" x14ac:dyDescent="0.25">
      <c r="H82" s="70"/>
      <c r="I82" s="70"/>
      <c r="J82" s="70"/>
      <c r="K82" s="70"/>
      <c r="L82" s="70"/>
      <c r="M82" s="70"/>
      <c r="N82" s="70"/>
      <c r="O82" s="70"/>
      <c r="P82" s="70"/>
      <c r="Q82" s="71"/>
      <c r="R82" s="70"/>
      <c r="S82" s="71"/>
      <c r="T82" s="70"/>
      <c r="U82" s="70"/>
      <c r="V82" s="70"/>
    </row>
    <row r="83" spans="5:22" x14ac:dyDescent="0.25">
      <c r="H83" s="70"/>
      <c r="I83" s="70"/>
      <c r="J83" s="70"/>
      <c r="K83" s="70"/>
      <c r="L83" s="70"/>
      <c r="M83" s="70"/>
      <c r="N83" s="70"/>
      <c r="O83" s="70"/>
      <c r="P83" s="70"/>
      <c r="Q83" s="71"/>
      <c r="R83" s="70"/>
      <c r="S83" s="71"/>
      <c r="T83" s="70"/>
      <c r="U83" s="70"/>
      <c r="V83" s="70"/>
    </row>
    <row r="84" spans="5:22" x14ac:dyDescent="0.25">
      <c r="H84" s="70"/>
      <c r="I84" s="70"/>
      <c r="J84" s="70"/>
      <c r="K84" s="70"/>
      <c r="L84" s="70"/>
      <c r="M84" s="70"/>
      <c r="N84" s="70"/>
      <c r="O84" s="70"/>
      <c r="P84" s="70"/>
      <c r="Q84" s="71"/>
      <c r="R84" s="70"/>
      <c r="S84" s="71"/>
      <c r="T84" s="70"/>
      <c r="U84" s="70"/>
      <c r="V84" s="70"/>
    </row>
    <row r="85" spans="5:22" x14ac:dyDescent="0.25">
      <c r="H85" s="70"/>
      <c r="I85" s="70"/>
      <c r="J85" s="70"/>
      <c r="K85" s="70"/>
      <c r="L85" s="70"/>
      <c r="M85" s="70"/>
      <c r="N85" s="70"/>
      <c r="O85" s="70"/>
      <c r="P85" s="70"/>
      <c r="Q85" s="71"/>
      <c r="R85" s="70"/>
      <c r="S85" s="71"/>
      <c r="T85" s="70"/>
      <c r="U85" s="70"/>
      <c r="V85" s="70"/>
    </row>
    <row r="91" spans="5:22" x14ac:dyDescent="0.25">
      <c r="E91" s="5"/>
    </row>
    <row r="94" spans="5:22" x14ac:dyDescent="0.25">
      <c r="E94" s="1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BD64C-EF49-459B-8238-C5C499CD7F25}">
  <sheetPr codeName="Arkusz3"/>
  <dimension ref="A1:Z130"/>
  <sheetViews>
    <sheetView zoomScaleNormal="100" workbookViewId="0">
      <selection activeCell="G5" sqref="G5"/>
    </sheetView>
  </sheetViews>
  <sheetFormatPr defaultRowHeight="15" x14ac:dyDescent="0.25"/>
  <cols>
    <col min="1" max="1" width="11.85546875" bestFit="1" customWidth="1"/>
    <col min="2" max="2" width="21.7109375" bestFit="1" customWidth="1"/>
    <col min="3" max="3" width="14.85546875" bestFit="1" customWidth="1"/>
    <col min="6" max="6" width="14.42578125" bestFit="1" customWidth="1"/>
    <col min="7" max="7" width="11.85546875" bestFit="1" customWidth="1"/>
    <col min="8" max="8" width="21.7109375" bestFit="1" customWidth="1"/>
    <col min="9" max="10" width="14.85546875" bestFit="1" customWidth="1"/>
    <col min="11" max="11" width="18.42578125" bestFit="1" customWidth="1"/>
    <col min="12" max="12" width="23.42578125" bestFit="1" customWidth="1"/>
    <col min="13" max="13" width="24.42578125" bestFit="1" customWidth="1"/>
    <col min="16" max="16" width="14.42578125" bestFit="1" customWidth="1"/>
    <col min="17" max="17" width="12.5703125" bestFit="1" customWidth="1"/>
    <col min="18" max="18" width="26.5703125" bestFit="1" customWidth="1"/>
    <col min="19" max="19" width="15.42578125" bestFit="1" customWidth="1"/>
    <col min="20" max="20" width="18.140625" bestFit="1" customWidth="1"/>
    <col min="21" max="21" width="18.5703125" bestFit="1" customWidth="1"/>
    <col min="22" max="22" width="13.7109375" bestFit="1" customWidth="1"/>
    <col min="23" max="23" width="15.42578125" bestFit="1" customWidth="1"/>
    <col min="24" max="24" width="14.42578125" bestFit="1" customWidth="1"/>
    <col min="25" max="25" width="12.5703125" bestFit="1" customWidth="1"/>
    <col min="26" max="26" width="19.7109375" bestFit="1" customWidth="1"/>
    <col min="27" max="27" width="21.7109375" bestFit="1" customWidth="1"/>
    <col min="28" max="88" width="23.7109375" bestFit="1" customWidth="1"/>
    <col min="89" max="89" width="17.7109375" bestFit="1" customWidth="1"/>
    <col min="90" max="90" width="26" bestFit="1" customWidth="1"/>
    <col min="91" max="91" width="24.85546875" bestFit="1" customWidth="1"/>
    <col min="92" max="92" width="21" bestFit="1" customWidth="1"/>
    <col min="93" max="93" width="23.140625" bestFit="1" customWidth="1"/>
    <col min="94" max="94" width="28.7109375" bestFit="1" customWidth="1"/>
  </cols>
  <sheetData>
    <row r="1" spans="1:26" ht="15" customHeight="1" x14ac:dyDescent="0.25">
      <c r="A1" s="81" t="s">
        <v>53</v>
      </c>
      <c r="B1" s="82"/>
      <c r="C1" s="82"/>
      <c r="D1" s="17"/>
      <c r="E1" s="12"/>
      <c r="F1" s="82" t="s">
        <v>56</v>
      </c>
      <c r="G1" s="82"/>
      <c r="H1" s="82"/>
      <c r="I1" s="17"/>
      <c r="J1" s="16"/>
      <c r="K1" s="82" t="s">
        <v>57</v>
      </c>
      <c r="L1" s="82"/>
      <c r="M1" s="82"/>
      <c r="N1" s="17"/>
      <c r="P1" s="81" t="s">
        <v>97</v>
      </c>
      <c r="Q1" s="82"/>
      <c r="R1" s="82"/>
      <c r="S1" s="86"/>
    </row>
    <row r="2" spans="1:26" ht="15" customHeight="1" thickBot="1" x14ac:dyDescent="0.3">
      <c r="A2" s="83"/>
      <c r="B2" s="84"/>
      <c r="C2" s="84"/>
      <c r="D2" s="21"/>
      <c r="E2" s="18"/>
      <c r="F2" s="84"/>
      <c r="G2" s="84"/>
      <c r="H2" s="84"/>
      <c r="I2" s="21"/>
      <c r="K2" s="80"/>
      <c r="L2" s="80"/>
      <c r="M2" s="80"/>
      <c r="N2" s="21"/>
      <c r="P2" s="79"/>
      <c r="Q2" s="80"/>
      <c r="R2" s="80"/>
      <c r="S2" s="85"/>
    </row>
    <row r="3" spans="1:26" ht="15.75" thickBot="1" x14ac:dyDescent="0.3">
      <c r="A3" s="18"/>
      <c r="D3" s="21"/>
      <c r="E3" s="18"/>
      <c r="I3" s="21"/>
      <c r="K3" s="84"/>
      <c r="L3" s="84"/>
      <c r="M3" s="84"/>
      <c r="N3" s="21"/>
      <c r="P3" s="18" t="s">
        <v>8</v>
      </c>
      <c r="Q3" t="s">
        <v>9</v>
      </c>
      <c r="R3" t="s">
        <v>66</v>
      </c>
      <c r="S3" s="21" t="s">
        <v>11</v>
      </c>
      <c r="U3" s="44" t="s">
        <v>2</v>
      </c>
      <c r="V3" s="16" t="s">
        <v>91</v>
      </c>
      <c r="W3" s="17" t="s">
        <v>100</v>
      </c>
      <c r="X3" s="44" t="s">
        <v>2</v>
      </c>
      <c r="Y3" s="55" t="s">
        <v>85</v>
      </c>
      <c r="Z3" s="61" t="s">
        <v>93</v>
      </c>
    </row>
    <row r="4" spans="1:26" x14ac:dyDescent="0.25">
      <c r="A4" s="34" t="s">
        <v>6</v>
      </c>
      <c r="B4" s="35" t="s">
        <v>51</v>
      </c>
      <c r="C4" s="35" t="s">
        <v>52</v>
      </c>
      <c r="D4" s="21"/>
      <c r="E4" s="18"/>
      <c r="G4" t="s">
        <v>55</v>
      </c>
      <c r="I4" s="21"/>
      <c r="K4" t="s">
        <v>41</v>
      </c>
      <c r="L4" t="s">
        <v>30</v>
      </c>
      <c r="N4" s="21"/>
      <c r="P4" s="30">
        <f>P9</f>
        <v>8052</v>
      </c>
      <c r="Q4" s="20">
        <f>Q9</f>
        <v>23720</v>
      </c>
      <c r="R4" s="20">
        <f>R9</f>
        <v>3164</v>
      </c>
      <c r="S4" s="25">
        <f>S9</f>
        <v>15250</v>
      </c>
      <c r="U4" s="45" t="s">
        <v>40</v>
      </c>
      <c r="V4" s="41">
        <v>13</v>
      </c>
      <c r="W4" s="51">
        <v>0.21311475409836064</v>
      </c>
      <c r="X4" s="45" t="s">
        <v>40</v>
      </c>
      <c r="Y4" s="41">
        <v>4709</v>
      </c>
      <c r="Z4" s="42">
        <v>19433.099999999999</v>
      </c>
    </row>
    <row r="5" spans="1:26" x14ac:dyDescent="0.25">
      <c r="A5" s="36">
        <f>A9</f>
        <v>359038</v>
      </c>
      <c r="B5" s="33">
        <f>B9</f>
        <v>94845.100000000108</v>
      </c>
      <c r="C5" s="37">
        <f>C9</f>
        <v>264192.89999999991</v>
      </c>
      <c r="D5" s="21"/>
      <c r="E5" s="18"/>
      <c r="G5" s="33">
        <f>G21</f>
        <v>264192.89999999991</v>
      </c>
      <c r="I5" s="21"/>
      <c r="K5" s="2">
        <f>L9</f>
        <v>11</v>
      </c>
      <c r="L5" s="2">
        <f>L10</f>
        <v>50</v>
      </c>
      <c r="N5" s="21"/>
      <c r="P5" s="18"/>
      <c r="S5" s="21"/>
      <c r="U5" s="46" t="s">
        <v>37</v>
      </c>
      <c r="V5" s="22">
        <v>17</v>
      </c>
      <c r="W5" s="52">
        <v>0.27868852459016391</v>
      </c>
      <c r="X5" s="46" t="s">
        <v>37</v>
      </c>
      <c r="Y5" s="22">
        <v>6049</v>
      </c>
      <c r="Z5" s="26">
        <v>28335</v>
      </c>
    </row>
    <row r="6" spans="1:26" ht="15.75" thickBot="1" x14ac:dyDescent="0.3">
      <c r="A6" s="38">
        <f>A5/SUM(A5:B5)</f>
        <v>0.79103628224976852</v>
      </c>
      <c r="B6" s="39">
        <f>B5/SUM(A5:B5)</f>
        <v>0.20896371775023148</v>
      </c>
      <c r="D6" s="21"/>
      <c r="E6" s="18"/>
      <c r="I6" s="21"/>
      <c r="N6" s="21"/>
      <c r="P6" s="31" t="s">
        <v>96</v>
      </c>
      <c r="Q6" s="20">
        <f>P9+Q9+R9+S9</f>
        <v>50186</v>
      </c>
      <c r="S6" s="21"/>
      <c r="U6" s="47" t="s">
        <v>29</v>
      </c>
      <c r="V6" s="22">
        <v>31</v>
      </c>
      <c r="W6" s="52">
        <v>0.50819672131147542</v>
      </c>
      <c r="X6" s="47" t="s">
        <v>29</v>
      </c>
      <c r="Y6" s="22">
        <v>10595</v>
      </c>
      <c r="Z6" s="26">
        <v>59943.300000000025</v>
      </c>
    </row>
    <row r="7" spans="1:26" ht="15.75" thickBot="1" x14ac:dyDescent="0.3">
      <c r="A7" s="18"/>
      <c r="D7" s="21"/>
      <c r="E7" s="18"/>
      <c r="I7" s="21"/>
      <c r="N7" s="21"/>
      <c r="P7" s="18"/>
      <c r="S7" s="21"/>
      <c r="U7" s="48" t="s">
        <v>109</v>
      </c>
      <c r="V7" s="43">
        <v>61</v>
      </c>
      <c r="W7" s="50">
        <v>1</v>
      </c>
      <c r="X7" s="48" t="s">
        <v>109</v>
      </c>
      <c r="Y7" s="43">
        <v>21353</v>
      </c>
      <c r="Z7" s="40">
        <v>107711.40000000002</v>
      </c>
    </row>
    <row r="8" spans="1:26" ht="15.75" thickBot="1" x14ac:dyDescent="0.3">
      <c r="A8" s="55" t="s">
        <v>48</v>
      </c>
      <c r="B8" s="56" t="s">
        <v>49</v>
      </c>
      <c r="C8" s="56" t="s">
        <v>50</v>
      </c>
      <c r="D8" s="21"/>
      <c r="E8" s="18"/>
      <c r="F8" s="44" t="s">
        <v>0</v>
      </c>
      <c r="G8" s="48" t="s">
        <v>50</v>
      </c>
      <c r="I8" s="21"/>
      <c r="K8" s="44" t="s">
        <v>4</v>
      </c>
      <c r="L8" s="16" t="s">
        <v>58</v>
      </c>
      <c r="M8" s="17" t="s">
        <v>106</v>
      </c>
      <c r="N8" s="21"/>
      <c r="P8" s="55" t="s">
        <v>59</v>
      </c>
      <c r="Q8" s="56" t="s">
        <v>60</v>
      </c>
      <c r="R8" s="56" t="s">
        <v>61</v>
      </c>
      <c r="S8" s="61" t="s">
        <v>62</v>
      </c>
      <c r="U8" s="18"/>
      <c r="Z8" s="21"/>
    </row>
    <row r="9" spans="1:26" ht="15.75" thickBot="1" x14ac:dyDescent="0.3">
      <c r="A9" s="53">
        <v>359038</v>
      </c>
      <c r="B9" s="54">
        <v>94845.100000000108</v>
      </c>
      <c r="C9" s="54">
        <v>264192.89999999991</v>
      </c>
      <c r="D9" s="21"/>
      <c r="E9" s="18"/>
      <c r="F9" s="45" t="s">
        <v>68</v>
      </c>
      <c r="G9" s="57">
        <v>11948.7</v>
      </c>
      <c r="I9" s="21"/>
      <c r="K9" s="45" t="s">
        <v>41</v>
      </c>
      <c r="L9" s="41">
        <v>11</v>
      </c>
      <c r="M9" s="51">
        <v>0.18032786885245902</v>
      </c>
      <c r="N9" s="21"/>
      <c r="P9" s="53">
        <v>8052</v>
      </c>
      <c r="Q9" s="54">
        <v>23720</v>
      </c>
      <c r="R9" s="54">
        <v>3164</v>
      </c>
      <c r="S9" s="60">
        <v>15250</v>
      </c>
      <c r="U9" s="18"/>
      <c r="Z9" s="21"/>
    </row>
    <row r="10" spans="1:26" ht="15.75" thickBot="1" x14ac:dyDescent="0.3">
      <c r="A10" s="18"/>
      <c r="D10" s="21"/>
      <c r="E10" s="18"/>
      <c r="F10" s="46" t="s">
        <v>69</v>
      </c>
      <c r="G10" s="58">
        <v>12138.8</v>
      </c>
      <c r="I10" s="21"/>
      <c r="K10" s="47" t="s">
        <v>30</v>
      </c>
      <c r="L10" s="22">
        <v>50</v>
      </c>
      <c r="M10" s="52">
        <v>0.81967213114754101</v>
      </c>
      <c r="N10" s="21"/>
      <c r="U10" s="18"/>
      <c r="Z10" s="21"/>
    </row>
    <row r="11" spans="1:26" ht="15.75" thickBot="1" x14ac:dyDescent="0.3">
      <c r="A11" s="27"/>
      <c r="B11" s="28"/>
      <c r="C11" s="28"/>
      <c r="D11" s="29"/>
      <c r="E11" s="18"/>
      <c r="F11" s="46" t="s">
        <v>70</v>
      </c>
      <c r="G11" s="58">
        <v>9471.5</v>
      </c>
      <c r="I11" s="21"/>
      <c r="K11" s="48" t="s">
        <v>109</v>
      </c>
      <c r="L11" s="43">
        <v>61</v>
      </c>
      <c r="M11" s="68">
        <v>1</v>
      </c>
      <c r="N11" s="21"/>
      <c r="U11" s="44" t="s">
        <v>7</v>
      </c>
      <c r="V11" s="55" t="s">
        <v>91</v>
      </c>
      <c r="W11" s="61" t="s">
        <v>92</v>
      </c>
      <c r="X11" s="17" t="s">
        <v>107</v>
      </c>
      <c r="Y11" s="32" t="s">
        <v>5</v>
      </c>
      <c r="Z11" s="21" t="s">
        <v>94</v>
      </c>
    </row>
    <row r="12" spans="1:26" ht="15.75" thickBot="1" x14ac:dyDescent="0.3">
      <c r="E12" s="18"/>
      <c r="F12" s="46" t="s">
        <v>71</v>
      </c>
      <c r="G12" s="58">
        <v>14518.7</v>
      </c>
      <c r="I12" s="21"/>
      <c r="J12" s="28"/>
      <c r="K12" s="28"/>
      <c r="L12" s="28"/>
      <c r="M12" s="28"/>
      <c r="N12" s="29"/>
      <c r="U12" s="45" t="s">
        <v>44</v>
      </c>
      <c r="V12" s="41">
        <v>13</v>
      </c>
      <c r="W12" s="13">
        <v>232.8</v>
      </c>
      <c r="X12" s="51">
        <v>0.21311475409836064</v>
      </c>
      <c r="Y12" t="s">
        <v>42</v>
      </c>
      <c r="Z12" s="26">
        <v>4</v>
      </c>
    </row>
    <row r="13" spans="1:26" x14ac:dyDescent="0.25">
      <c r="E13" s="18"/>
      <c r="F13" s="46" t="s">
        <v>45</v>
      </c>
      <c r="G13" s="58">
        <v>28743.599999999999</v>
      </c>
      <c r="I13" s="21"/>
      <c r="P13" s="12"/>
      <c r="Q13" s="16"/>
      <c r="R13" s="16"/>
      <c r="S13" s="17"/>
      <c r="U13" s="46" t="s">
        <v>31</v>
      </c>
      <c r="V13" s="22">
        <v>16</v>
      </c>
      <c r="W13" s="2">
        <v>302.5</v>
      </c>
      <c r="X13" s="52">
        <v>0.26229508196721313</v>
      </c>
      <c r="Y13" t="s">
        <v>33</v>
      </c>
      <c r="Z13" s="26">
        <v>6</v>
      </c>
    </row>
    <row r="14" spans="1:26" ht="15" customHeight="1" x14ac:dyDescent="0.25">
      <c r="E14" s="18"/>
      <c r="F14" s="46" t="s">
        <v>73</v>
      </c>
      <c r="G14" s="58">
        <v>16091.6</v>
      </c>
      <c r="I14" s="21"/>
      <c r="P14" s="79" t="s">
        <v>98</v>
      </c>
      <c r="Q14" s="80"/>
      <c r="R14" s="80"/>
      <c r="S14" s="85"/>
      <c r="U14" s="46" t="s">
        <v>47</v>
      </c>
      <c r="V14" s="22">
        <v>12</v>
      </c>
      <c r="W14" s="2">
        <v>195.8</v>
      </c>
      <c r="X14" s="52">
        <v>0.19672131147540983</v>
      </c>
      <c r="Y14" t="s">
        <v>35</v>
      </c>
      <c r="Z14" s="26">
        <v>10</v>
      </c>
    </row>
    <row r="15" spans="1:26" ht="15" customHeight="1" thickBot="1" x14ac:dyDescent="0.3">
      <c r="E15" s="18"/>
      <c r="F15" s="46" t="s">
        <v>72</v>
      </c>
      <c r="G15" s="58">
        <v>61991.199999999997</v>
      </c>
      <c r="I15" s="21"/>
      <c r="P15" s="79"/>
      <c r="Q15" s="80"/>
      <c r="R15" s="80"/>
      <c r="S15" s="85"/>
      <c r="U15" s="47" t="s">
        <v>46</v>
      </c>
      <c r="V15" s="22">
        <v>20</v>
      </c>
      <c r="W15" s="2">
        <v>316.7</v>
      </c>
      <c r="X15" s="52">
        <v>0.32786885245901637</v>
      </c>
      <c r="Y15" t="s">
        <v>38</v>
      </c>
      <c r="Z15" s="26">
        <v>7</v>
      </c>
    </row>
    <row r="16" spans="1:26" ht="15.75" thickBot="1" x14ac:dyDescent="0.3">
      <c r="E16" s="18"/>
      <c r="F16" s="46" t="s">
        <v>75</v>
      </c>
      <c r="G16" s="58">
        <v>20036.8</v>
      </c>
      <c r="I16" s="21"/>
      <c r="P16" s="18" t="s">
        <v>15</v>
      </c>
      <c r="Q16" t="s">
        <v>12</v>
      </c>
      <c r="R16" t="s">
        <v>14</v>
      </c>
      <c r="S16" s="21" t="s">
        <v>13</v>
      </c>
      <c r="U16" s="48" t="s">
        <v>109</v>
      </c>
      <c r="V16" s="43">
        <v>61</v>
      </c>
      <c r="W16" s="62">
        <v>1047.7999999999997</v>
      </c>
      <c r="X16" s="50">
        <v>1</v>
      </c>
      <c r="Y16" t="s">
        <v>78</v>
      </c>
      <c r="Z16" s="26">
        <v>5</v>
      </c>
    </row>
    <row r="17" spans="4:26" x14ac:dyDescent="0.25">
      <c r="E17" s="18"/>
      <c r="F17" s="46" t="s">
        <v>76</v>
      </c>
      <c r="G17" s="58">
        <v>28740.799999999999</v>
      </c>
      <c r="I17" s="21"/>
      <c r="P17" s="30">
        <f>P22</f>
        <v>1196</v>
      </c>
      <c r="Q17" s="20">
        <f>Q22</f>
        <v>7785</v>
      </c>
      <c r="R17" s="20">
        <f>R22</f>
        <v>7372</v>
      </c>
      <c r="S17" s="25">
        <f>S22</f>
        <v>2215</v>
      </c>
      <c r="U17" s="18"/>
      <c r="Y17" t="s">
        <v>39</v>
      </c>
      <c r="Z17" s="26">
        <v>28</v>
      </c>
    </row>
    <row r="18" spans="4:26" x14ac:dyDescent="0.25">
      <c r="E18" s="18"/>
      <c r="F18" s="46" t="s">
        <v>77</v>
      </c>
      <c r="G18" s="58">
        <v>33422</v>
      </c>
      <c r="I18" s="21"/>
      <c r="L18" t="s">
        <v>81</v>
      </c>
      <c r="P18" s="18"/>
      <c r="S18" s="21"/>
      <c r="U18" s="18"/>
      <c r="Y18" t="s">
        <v>43</v>
      </c>
      <c r="Z18" s="26">
        <v>1</v>
      </c>
    </row>
    <row r="19" spans="4:26" x14ac:dyDescent="0.25">
      <c r="E19" s="18"/>
      <c r="F19" s="46" t="s">
        <v>79</v>
      </c>
      <c r="G19" s="58">
        <v>15818.5</v>
      </c>
      <c r="I19" s="21"/>
      <c r="P19" s="31" t="s">
        <v>96</v>
      </c>
      <c r="Q19" s="20">
        <f>P22+Q22+R22+S22+T22</f>
        <v>22066</v>
      </c>
      <c r="S19" s="21"/>
      <c r="U19" s="18"/>
      <c r="Y19" t="s">
        <v>54</v>
      </c>
      <c r="Z19" s="26">
        <v>61</v>
      </c>
    </row>
    <row r="20" spans="4:26" ht="15.75" thickBot="1" x14ac:dyDescent="0.3">
      <c r="E20" s="18"/>
      <c r="F20" s="47" t="s">
        <v>80</v>
      </c>
      <c r="G20" s="58">
        <v>11270.7</v>
      </c>
      <c r="I20" s="21"/>
      <c r="P20" s="18"/>
      <c r="S20" s="21"/>
      <c r="U20" s="27"/>
      <c r="V20" s="28"/>
      <c r="W20" s="28"/>
      <c r="X20" s="28"/>
      <c r="Y20" s="28"/>
      <c r="Z20" s="29"/>
    </row>
    <row r="21" spans="4:26" ht="15.75" thickBot="1" x14ac:dyDescent="0.3">
      <c r="E21" s="27"/>
      <c r="F21" s="48" t="s">
        <v>109</v>
      </c>
      <c r="G21" s="59">
        <v>264192.89999999991</v>
      </c>
      <c r="H21" s="28"/>
      <c r="I21" s="29"/>
      <c r="P21" s="55" t="s">
        <v>63</v>
      </c>
      <c r="Q21" s="56" t="s">
        <v>64</v>
      </c>
      <c r="R21" s="56" t="s">
        <v>65</v>
      </c>
      <c r="S21" s="61" t="s">
        <v>67</v>
      </c>
      <c r="T21" s="17" t="s">
        <v>110</v>
      </c>
    </row>
    <row r="22" spans="4:26" ht="15.75" thickBot="1" x14ac:dyDescent="0.3">
      <c r="D22" s="3"/>
      <c r="I22" s="3"/>
      <c r="P22" s="53">
        <v>1196</v>
      </c>
      <c r="Q22" s="54">
        <v>7785</v>
      </c>
      <c r="R22" s="54">
        <v>7372</v>
      </c>
      <c r="S22" s="54">
        <v>2215</v>
      </c>
      <c r="T22" s="60">
        <v>3498</v>
      </c>
      <c r="U22" t="s">
        <v>2</v>
      </c>
      <c r="V22" t="s">
        <v>91</v>
      </c>
      <c r="W22" t="s">
        <v>100</v>
      </c>
    </row>
    <row r="23" spans="4:26" ht="15.75" thickBot="1" x14ac:dyDescent="0.3">
      <c r="D23" s="3"/>
      <c r="I23" s="3"/>
      <c r="P23" s="27"/>
      <c r="Q23" s="28"/>
      <c r="R23" s="28"/>
      <c r="S23" s="29"/>
      <c r="U23" t="s">
        <v>40</v>
      </c>
      <c r="V23" s="2">
        <f>V4</f>
        <v>13</v>
      </c>
      <c r="W23" s="49">
        <f>W4</f>
        <v>0.21311475409836064</v>
      </c>
    </row>
    <row r="24" spans="4:26" x14ac:dyDescent="0.25">
      <c r="D24" s="3"/>
      <c r="I24" s="3"/>
      <c r="S24" t="s">
        <v>108</v>
      </c>
      <c r="U24" t="s">
        <v>37</v>
      </c>
      <c r="V24" s="2">
        <f t="shared" ref="V24:W26" si="0">V5</f>
        <v>17</v>
      </c>
      <c r="W24" s="49">
        <f t="shared" si="0"/>
        <v>0.27868852459016391</v>
      </c>
      <c r="Y24" t="s">
        <v>5</v>
      </c>
      <c r="Z24" t="s">
        <v>95</v>
      </c>
    </row>
    <row r="25" spans="4:26" x14ac:dyDescent="0.25">
      <c r="D25" s="3"/>
      <c r="I25" s="3"/>
      <c r="Q25" s="2"/>
      <c r="U25" t="s">
        <v>29</v>
      </c>
      <c r="V25" s="2">
        <f t="shared" si="0"/>
        <v>31</v>
      </c>
      <c r="W25" s="49">
        <f t="shared" si="0"/>
        <v>0.50819672131147542</v>
      </c>
      <c r="Y25" t="str">
        <f>Y12</f>
        <v>Alberta</v>
      </c>
      <c r="Z25" s="2">
        <f>Z12</f>
        <v>4</v>
      </c>
    </row>
    <row r="26" spans="4:26" x14ac:dyDescent="0.25">
      <c r="D26" s="3"/>
      <c r="I26" s="3"/>
      <c r="U26" t="s">
        <v>54</v>
      </c>
      <c r="V26" s="2">
        <f t="shared" si="0"/>
        <v>61</v>
      </c>
      <c r="W26" s="49">
        <f t="shared" si="0"/>
        <v>1</v>
      </c>
      <c r="Y26" t="str">
        <f t="shared" ref="Y26:Z31" si="1">Y13</f>
        <v>British Columbia</v>
      </c>
      <c r="Z26" s="2">
        <f t="shared" si="1"/>
        <v>6</v>
      </c>
    </row>
    <row r="27" spans="4:26" x14ac:dyDescent="0.25">
      <c r="Y27" t="str">
        <f t="shared" si="1"/>
        <v>Manitoba</v>
      </c>
      <c r="Z27" s="2">
        <f t="shared" si="1"/>
        <v>10</v>
      </c>
    </row>
    <row r="28" spans="4:26" ht="15.75" thickBot="1" x14ac:dyDescent="0.3">
      <c r="Q28" s="2"/>
      <c r="R28" s="2"/>
      <c r="S28" s="2"/>
      <c r="T28" s="2"/>
      <c r="Y28" t="str">
        <f t="shared" si="1"/>
        <v>New Brunswick</v>
      </c>
      <c r="Z28" s="2">
        <f t="shared" si="1"/>
        <v>7</v>
      </c>
    </row>
    <row r="29" spans="4:26" x14ac:dyDescent="0.25">
      <c r="P29" s="12"/>
      <c r="Q29" s="13"/>
      <c r="R29" s="13"/>
      <c r="S29" s="14"/>
      <c r="T29" s="15"/>
      <c r="U29" s="16"/>
      <c r="V29" s="17"/>
      <c r="Y29" t="str">
        <f t="shared" si="1"/>
        <v>Novembera Scotia</v>
      </c>
      <c r="Z29" s="2">
        <f t="shared" si="1"/>
        <v>5</v>
      </c>
    </row>
    <row r="30" spans="4:26" x14ac:dyDescent="0.25">
      <c r="P30" s="18" t="s">
        <v>18</v>
      </c>
      <c r="Q30" s="2" t="s">
        <v>90</v>
      </c>
      <c r="R30" s="2" t="s">
        <v>88</v>
      </c>
      <c r="S30" s="19" t="s">
        <v>21</v>
      </c>
      <c r="T30" s="20" t="s">
        <v>20</v>
      </c>
      <c r="U30" t="s">
        <v>22</v>
      </c>
      <c r="V30" s="21" t="s">
        <v>99</v>
      </c>
      <c r="Y30" t="str">
        <f t="shared" si="1"/>
        <v>Nunavut</v>
      </c>
      <c r="Z30" s="2">
        <f t="shared" si="1"/>
        <v>28</v>
      </c>
    </row>
    <row r="31" spans="4:26" x14ac:dyDescent="0.25">
      <c r="P31" s="22">
        <f t="shared" ref="P31:U31" si="2">P36</f>
        <v>21353</v>
      </c>
      <c r="Q31" s="23">
        <f t="shared" si="2"/>
        <v>14947.099999999993</v>
      </c>
      <c r="R31" s="24">
        <f t="shared" si="2"/>
        <v>1.4285714285714293</v>
      </c>
      <c r="S31" s="23">
        <f t="shared" si="2"/>
        <v>1546</v>
      </c>
      <c r="T31" s="23">
        <f t="shared" si="2"/>
        <v>6100</v>
      </c>
      <c r="U31" s="23">
        <f t="shared" si="2"/>
        <v>3498</v>
      </c>
      <c r="V31" s="25">
        <f>SUM(Q31+S31+T31)</f>
        <v>22593.099999999991</v>
      </c>
      <c r="Y31" t="str">
        <f t="shared" si="1"/>
        <v>Yukon</v>
      </c>
      <c r="Z31" s="2">
        <f t="shared" si="1"/>
        <v>1</v>
      </c>
    </row>
    <row r="32" spans="4:26" x14ac:dyDescent="0.25">
      <c r="P32" s="18"/>
      <c r="Q32" s="2"/>
      <c r="R32" s="2"/>
      <c r="S32" s="2"/>
      <c r="T32" s="2"/>
      <c r="U32" s="2"/>
      <c r="V32" s="26"/>
    </row>
    <row r="33" spans="16:22" ht="15" customHeight="1" x14ac:dyDescent="0.25">
      <c r="P33" s="79" t="s">
        <v>89</v>
      </c>
      <c r="Q33" s="80"/>
      <c r="R33" s="80"/>
      <c r="S33" s="80"/>
      <c r="T33" s="80"/>
      <c r="U33" s="80"/>
      <c r="V33" s="21"/>
    </row>
    <row r="34" spans="16:22" ht="15" customHeight="1" thickBot="1" x14ac:dyDescent="0.3">
      <c r="P34" s="79"/>
      <c r="Q34" s="80"/>
      <c r="R34" s="80"/>
      <c r="S34" s="80"/>
      <c r="T34" s="80"/>
      <c r="U34" s="80"/>
      <c r="V34" s="21"/>
    </row>
    <row r="35" spans="16:22" ht="15.75" thickBot="1" x14ac:dyDescent="0.3">
      <c r="P35" s="55" t="s">
        <v>85</v>
      </c>
      <c r="Q35" s="56" t="s">
        <v>86</v>
      </c>
      <c r="R35" s="56" t="s">
        <v>87</v>
      </c>
      <c r="S35" s="56" t="s">
        <v>83</v>
      </c>
      <c r="T35" s="56" t="s">
        <v>84</v>
      </c>
      <c r="U35" s="61" t="s">
        <v>82</v>
      </c>
    </row>
    <row r="36" spans="16:22" ht="15.75" thickBot="1" x14ac:dyDescent="0.3">
      <c r="P36" s="53">
        <v>21353</v>
      </c>
      <c r="Q36" s="77">
        <v>14947.099999999993</v>
      </c>
      <c r="R36" s="76">
        <v>1.4285714285714293</v>
      </c>
      <c r="S36" s="74">
        <v>1546</v>
      </c>
      <c r="T36" s="74">
        <v>6100</v>
      </c>
      <c r="U36" s="75">
        <v>3498</v>
      </c>
    </row>
    <row r="40" spans="16:22" ht="15.75" thickBot="1" x14ac:dyDescent="0.3"/>
    <row r="65" spans="6:19" ht="15.75" thickBot="1" x14ac:dyDescent="0.3">
      <c r="G65" s="4"/>
      <c r="K65" t="s">
        <v>103</v>
      </c>
      <c r="L65" t="s">
        <v>104</v>
      </c>
      <c r="M65" t="s">
        <v>105</v>
      </c>
    </row>
    <row r="66" spans="6:19" ht="15.75" thickBot="1" x14ac:dyDescent="0.3">
      <c r="F66" s="63" t="s">
        <v>0</v>
      </c>
      <c r="G66" s="16" t="s">
        <v>50</v>
      </c>
      <c r="H66" s="16" t="s">
        <v>101</v>
      </c>
      <c r="I66" s="17" t="s">
        <v>102</v>
      </c>
      <c r="K66" cm="1">
        <f t="array" ref="K66:K77">_xlfn._xlws.SORT(G67:G78,,-1)</f>
        <v>61991.199999999997</v>
      </c>
      <c r="L66" cm="1">
        <f t="array" ref="L66:L67">_xlfn.TAKE(_xlfn.ANCHORARRAY(K66),2)</f>
        <v>61991.199999999997</v>
      </c>
      <c r="M66" s="67">
        <f>L66/L67</f>
        <v>1.8548022260786308</v>
      </c>
      <c r="P66" t="s">
        <v>59</v>
      </c>
      <c r="Q66" t="s">
        <v>60</v>
      </c>
      <c r="R66" t="s">
        <v>61</v>
      </c>
      <c r="S66" t="s">
        <v>62</v>
      </c>
    </row>
    <row r="67" spans="6:19" x14ac:dyDescent="0.25">
      <c r="F67" s="18" t="s">
        <v>68</v>
      </c>
      <c r="G67" s="41">
        <v>11948.7</v>
      </c>
      <c r="H67" s="65"/>
      <c r="I67" s="64">
        <v>4.5227180594179496E-2</v>
      </c>
      <c r="K67">
        <v>33422</v>
      </c>
      <c r="L67">
        <v>33422</v>
      </c>
      <c r="P67" s="2">
        <v>8052</v>
      </c>
      <c r="Q67" s="2">
        <v>23720</v>
      </c>
      <c r="R67" s="2">
        <v>3164</v>
      </c>
      <c r="S67" s="2">
        <v>15250</v>
      </c>
    </row>
    <row r="68" spans="6:19" x14ac:dyDescent="0.25">
      <c r="F68" s="18" t="s">
        <v>69</v>
      </c>
      <c r="G68" s="22">
        <v>12138.8</v>
      </c>
      <c r="H68" s="49">
        <v>1.5909680551022164E-2</v>
      </c>
      <c r="I68" s="73">
        <v>4.594673058965628E-2</v>
      </c>
      <c r="K68">
        <v>28743.599999999999</v>
      </c>
    </row>
    <row r="69" spans="6:19" x14ac:dyDescent="0.25">
      <c r="F69" s="18" t="s">
        <v>70</v>
      </c>
      <c r="G69" s="22">
        <v>9471.5</v>
      </c>
      <c r="H69" s="49">
        <v>-0.21973341681220546</v>
      </c>
      <c r="I69" s="73">
        <v>3.5850698485841229E-2</v>
      </c>
      <c r="K69">
        <v>28740.799999999999</v>
      </c>
    </row>
    <row r="70" spans="6:19" x14ac:dyDescent="0.25">
      <c r="F70" s="18" t="s">
        <v>71</v>
      </c>
      <c r="G70" s="22">
        <v>14518.7</v>
      </c>
      <c r="H70" s="49">
        <v>0.53288285910362676</v>
      </c>
      <c r="I70" s="73">
        <v>5.4954921195838363E-2</v>
      </c>
      <c r="K70">
        <v>20036.8</v>
      </c>
    </row>
    <row r="71" spans="6:19" x14ac:dyDescent="0.25">
      <c r="F71" s="18" t="s">
        <v>45</v>
      </c>
      <c r="G71" s="22">
        <v>28743.599999999999</v>
      </c>
      <c r="H71" s="49">
        <v>0.97976402845984811</v>
      </c>
      <c r="I71" s="73">
        <v>0.10879777617036646</v>
      </c>
      <c r="K71">
        <v>16091.6</v>
      </c>
    </row>
    <row r="72" spans="6:19" x14ac:dyDescent="0.25">
      <c r="F72" s="18" t="s">
        <v>73</v>
      </c>
      <c r="G72" s="22">
        <v>16091.6</v>
      </c>
      <c r="H72" s="49">
        <v>-0.44016755034164123</v>
      </c>
      <c r="I72" s="73">
        <v>6.0908525550838068E-2</v>
      </c>
      <c r="K72">
        <v>15818.5</v>
      </c>
    </row>
    <row r="73" spans="6:19" x14ac:dyDescent="0.25">
      <c r="F73" s="18" t="s">
        <v>72</v>
      </c>
      <c r="G73" s="22">
        <v>61991.199999999997</v>
      </c>
      <c r="H73" s="49">
        <v>2.8523950384051306</v>
      </c>
      <c r="I73" s="73">
        <v>0.23464370162862067</v>
      </c>
      <c r="K73">
        <v>14518.7</v>
      </c>
    </row>
    <row r="74" spans="6:19" x14ac:dyDescent="0.25">
      <c r="F74" s="18" t="s">
        <v>75</v>
      </c>
      <c r="G74" s="22">
        <v>20036.8</v>
      </c>
      <c r="H74" s="49">
        <v>-0.67677993005458836</v>
      </c>
      <c r="I74" s="73">
        <v>7.5841553652653063E-2</v>
      </c>
      <c r="K74">
        <v>12138.8</v>
      </c>
    </row>
    <row r="75" spans="6:19" x14ac:dyDescent="0.25">
      <c r="F75" s="18" t="s">
        <v>76</v>
      </c>
      <c r="G75" s="22">
        <v>28740.799999999999</v>
      </c>
      <c r="H75" s="49">
        <v>0.43440070270701908</v>
      </c>
      <c r="I75" s="73">
        <v>0.10878717785375765</v>
      </c>
      <c r="K75">
        <v>11948.7</v>
      </c>
    </row>
    <row r="76" spans="6:19" x14ac:dyDescent="0.25">
      <c r="F76" s="18" t="s">
        <v>77</v>
      </c>
      <c r="G76" s="22">
        <v>33422</v>
      </c>
      <c r="H76" s="49">
        <v>0.16287646829594168</v>
      </c>
      <c r="I76" s="73">
        <v>0.12650604917846017</v>
      </c>
      <c r="K76">
        <v>11270.7</v>
      </c>
    </row>
    <row r="77" spans="6:19" x14ac:dyDescent="0.25">
      <c r="F77" s="18" t="s">
        <v>79</v>
      </c>
      <c r="G77" s="22">
        <v>15818.5</v>
      </c>
      <c r="H77" s="49">
        <v>-0.52670396744659209</v>
      </c>
      <c r="I77" s="73">
        <v>5.9874811170171516E-2</v>
      </c>
      <c r="K77">
        <v>9471.5</v>
      </c>
    </row>
    <row r="78" spans="6:19" x14ac:dyDescent="0.25">
      <c r="F78" s="18" t="s">
        <v>80</v>
      </c>
      <c r="G78" s="22">
        <v>11270.7</v>
      </c>
      <c r="H78" s="49">
        <v>-0.28749881467901506</v>
      </c>
      <c r="I78" s="73">
        <v>4.2660873929617357E-2</v>
      </c>
    </row>
    <row r="79" spans="6:19" ht="15.75" thickBot="1" x14ac:dyDescent="0.3">
      <c r="F79" s="27" t="s">
        <v>109</v>
      </c>
      <c r="G79" s="43">
        <v>264192.89999999991</v>
      </c>
      <c r="H79" s="66"/>
      <c r="I79" s="50">
        <v>1</v>
      </c>
    </row>
    <row r="80" spans="6:19" x14ac:dyDescent="0.25">
      <c r="P80" s="32" t="s">
        <v>2</v>
      </c>
      <c r="Q80" t="s">
        <v>111</v>
      </c>
    </row>
    <row r="81" spans="16:17" x14ac:dyDescent="0.25">
      <c r="P81" t="s">
        <v>40</v>
      </c>
      <c r="Q81" s="2">
        <v>13</v>
      </c>
    </row>
    <row r="82" spans="16:17" x14ac:dyDescent="0.25">
      <c r="P82" t="s">
        <v>37</v>
      </c>
      <c r="Q82" s="2">
        <v>17</v>
      </c>
    </row>
    <row r="83" spans="16:17" x14ac:dyDescent="0.25">
      <c r="P83" t="s">
        <v>29</v>
      </c>
      <c r="Q83" s="2">
        <v>31</v>
      </c>
    </row>
    <row r="84" spans="16:17" x14ac:dyDescent="0.25">
      <c r="P84" t="s">
        <v>109</v>
      </c>
      <c r="Q84" s="2">
        <v>61</v>
      </c>
    </row>
    <row r="90" spans="16:17" ht="15.75" thickBot="1" x14ac:dyDescent="0.3"/>
    <row r="103" spans="7:9" ht="15.75" thickBot="1" x14ac:dyDescent="0.3"/>
    <row r="104" spans="7:9" ht="15.75" thickBot="1" x14ac:dyDescent="0.3">
      <c r="G104" s="55" t="s">
        <v>48</v>
      </c>
      <c r="H104" s="56" t="s">
        <v>49</v>
      </c>
      <c r="I104" s="56" t="s">
        <v>50</v>
      </c>
    </row>
    <row r="105" spans="7:9" ht="15.75" thickBot="1" x14ac:dyDescent="0.3">
      <c r="G105" s="53">
        <v>359038</v>
      </c>
      <c r="H105" s="54">
        <v>94845.100000000108</v>
      </c>
      <c r="I105" s="54">
        <v>264192.89999999991</v>
      </c>
    </row>
    <row r="130" ht="15.75" thickBot="1" x14ac:dyDescent="0.3"/>
  </sheetData>
  <mergeCells count="6">
    <mergeCell ref="P33:U34"/>
    <mergeCell ref="A1:C2"/>
    <mergeCell ref="F1:H2"/>
    <mergeCell ref="K1:M3"/>
    <mergeCell ref="P14:S15"/>
    <mergeCell ref="P1:S2"/>
  </mergeCells>
  <pageMargins left="0.7" right="0.7" top="0.75" bottom="0.75" header="0.3" footer="0.3"/>
  <drawing r:id="rId15"/>
  <extLst>
    <ext xmlns:x14="http://schemas.microsoft.com/office/spreadsheetml/2009/9/main" uri="{A8765BA9-456A-4dab-B4F3-ACF838C121DE}">
      <x14:slicerList>
        <x14:slicer r:id="rId1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8EF589-82EA-42BF-BE06-A8E4C4AA0C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Dashboard</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Jakub Nicpoń</dc:creator>
  <cp:lastModifiedBy>Jakub Nicpoń</cp:lastModifiedBy>
  <dcterms:created xsi:type="dcterms:W3CDTF">2025-06-14T06:46:42Z</dcterms:created>
  <dcterms:modified xsi:type="dcterms:W3CDTF">2025-10-14T19:11:16Z</dcterms:modified>
</cp:coreProperties>
</file>